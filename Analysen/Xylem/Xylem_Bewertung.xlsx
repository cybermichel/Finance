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ahmen" sheetId="1" state="visible" r:id="rId3"/>
    <sheet name="Historie" sheetId="2" state="visible" r:id="rId4"/>
    <sheet name="DCF" sheetId="3" state="visible" r:id="rId5"/>
    <sheet name="Verglei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<sst xmlns="http://schemas.openxmlformats.org/spreadsheetml/2006/main" count="143" uniqueCount="93">
  <si>
    <t xml:space="preserve">Parameter</t>
  </si>
  <si>
    <t xml:space="preserve">Wert</t>
  </si>
  <si>
    <t xml:space="preserve">Quelle / Hinweis</t>
  </si>
  <si>
    <t xml:space="preserve">Kurs (USD, ca. 15.10.2026)</t>
  </si>
  <si>
    <t xml:space="preserve">MarketBeat, Schlusskurs ~103,39</t>
  </si>
  <si>
    <t xml:space="preserve">Aktien verwässert (Mio.)</t>
  </si>
  <si>
    <t xml:space="preserve">geschätzt aus 10-K/Q2-2026</t>
  </si>
  <si>
    <t xml:space="preserve">Nettoverschuldung vor Übernahme (Mio. USD)</t>
  </si>
  <si>
    <t xml:space="preserve">GESCHÄTZT: ~0,2x Net Debt/EBITDA Ende 2025</t>
  </si>
  <si>
    <t xml:space="preserve">Umsatz 2025 (Mio. USD)</t>
  </si>
  <si>
    <t xml:space="preserve">10-K 2025</t>
  </si>
  <si>
    <t xml:space="preserve">Umsatz 2026E Guidance (Mio. USD)</t>
  </si>
  <si>
    <t xml:space="preserve">Guidance Juli 2026</t>
  </si>
  <si>
    <t xml:space="preserve">Adj. EBITDA-Marge 2026E</t>
  </si>
  <si>
    <t xml:space="preserve">Mitte Guidance 22,9–23,3 %</t>
  </si>
  <si>
    <t xml:space="preserve">Adj. EPS 2026E (USD)</t>
  </si>
  <si>
    <t xml:space="preserve">Mitte Guidance 5,55–5,70</t>
  </si>
  <si>
    <t xml:space="preserve">Dividende je Aktie p.a. (USD)</t>
  </si>
  <si>
    <t xml:space="preserve">4 x 0,43</t>
  </si>
  <si>
    <t xml:space="preserve">FCF 2025 (Mio. USD)</t>
  </si>
  <si>
    <t xml:space="preserve">Steuersatz (Info)</t>
  </si>
  <si>
    <t xml:space="preserve">Annahme</t>
  </si>
  <si>
    <t xml:space="preserve">Marktkapitalisierung (Mio.)</t>
  </si>
  <si>
    <t xml:space="preserve">Enterprise Value (Mio.)</t>
  </si>
  <si>
    <t xml:space="preserve">KGV 2026E</t>
  </si>
  <si>
    <t xml:space="preserve">EV/EBITDA 2026E</t>
  </si>
  <si>
    <t xml:space="preserve">Dividendenrendite</t>
  </si>
  <si>
    <t xml:space="preserve">FCF-Rendite (FCF 2026E ~10,6 % Marge)</t>
  </si>
  <si>
    <t xml:space="preserve">Mio. USD</t>
  </si>
  <si>
    <t xml:space="preserve">Umsatz</t>
  </si>
  <si>
    <t xml:space="preserve">Nettogewinn (GAAP)</t>
  </si>
  <si>
    <t xml:space="preserve">EPS GAAP (USD)</t>
  </si>
  <si>
    <t xml:space="preserve">EPS bereinigt (USD)</t>
  </si>
  <si>
    <t xml:space="preserve">Operativer Cashflow</t>
  </si>
  <si>
    <t xml:space="preserve">Investitionen (Capex)</t>
  </si>
  <si>
    <t xml:space="preserve">Dividende je Aktie (USD)</t>
  </si>
  <si>
    <t xml:space="preserve">Free Cashflow</t>
  </si>
  <si>
    <t xml:space="preserve">Nettomarge</t>
  </si>
  <si>
    <t xml:space="preserve">FCF-Marge</t>
  </si>
  <si>
    <t xml:space="preserve">Umsatzwachstum</t>
  </si>
  <si>
    <t xml:space="preserve">Hinweis: 2023 Sprung durch Evoqua-Übernahme. Werte 2021–2024 aus Geschäftsberichten (aus Gedächtnis rekonstruiert, ±2 % möglich); Nettogewinn 2025 = EPS 3,92 x ~244 Mio. Aktien (geschätzt). EPS bereinigt 2021 nicht separat erfasst.</t>
  </si>
  <si>
    <t xml:space="preserve">Szenario: Pessimistisch</t>
  </si>
  <si>
    <t xml:space="preserve">WACC</t>
  </si>
  <si>
    <t xml:space="preserve">Ewiges Wachstum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</si>
  <si>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</si>
  <si>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</si>
  <si>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</si>
  <si>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</si>
  <si>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</si>
  <si>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Abzinsungsfaktor</t>
  </si>
  <si>
    <t xml:space="preserve">Barwert FCF</t>
  </si>
  <si>
    <t xml:space="preserve">Summe Barwerte FCF</t>
  </si>
  <si>
    <t xml:space="preserve">Endwert (Terminal Value)</t>
  </si>
  <si>
    <t xml:space="preserve">Barwert Endwert</t>
  </si>
  <si>
    <t xml:space="preserve">Enterprise Value</t>
  </si>
  <si>
    <t xml:space="preserve">– Nettoverschuldung</t>
  </si>
  <si>
    <t xml:space="preserve">Eigenkapitalwert</t>
  </si>
  <si>
    <t xml:space="preserve">Fairer Wert je Aktie (USD)</t>
  </si>
  <si>
    <t xml:space="preserve">Abstand zum Kurs</t>
  </si>
  <si>
    <t xml:space="preserve">Anteil Endwert am EV</t>
  </si>
  <si>
    <t xml:space="preserve">Szenario: Realistisch</t>
  </si>
  <si>
    <t xml:space="preserve">Szenario: Optimistisch</t>
  </si>
  <si>
    <t xml:space="preserve">Zusammenfassung</t>
  </si>
  <si>
    <t xml:space="preserve">Pessimistisch</t>
  </si>
  <si>
    <t xml:space="preserve">Realistisch</t>
  </si>
  <si>
    <t xml:space="preserve">Optimistisch</t>
  </si>
  <si>
    <t xml:space="preserve">Gewichtet (25/50/25)</t>
  </si>
  <si>
    <t xml:space="preserve">Bewertungsstichtag ca. Mitte Okt. 2026; Prognose 2027–2031 auf Basis Umsatz-Guidance 2026 (9,2 Mrd.). Hinweis: Eigenständiges Xylem ohne Cornell/Roper-Übernahme (Kaufpreis 1,46 Mrd. ~ fair bei 11,6x EBITDA, daher annähernd wertneutral). FCF = operativer Cashflow – Capex.</t>
  </si>
  <si>
    <t xml:space="preserve">Sensitivität Realistisch: Fairer Wert je Aktie (Zeilen WACC, Spalten ewiges Wachstum)</t>
  </si>
  <si>
    <t xml:space="preserve">Unternehmen</t>
  </si>
  <si>
    <t xml:space="preserve">Ticker</t>
  </si>
  <si>
    <t xml:space="preserve">KGV fwd</t>
  </si>
  <si>
    <t xml:space="preserve">EV/EBITDA fwd</t>
  </si>
  <si>
    <t xml:space="preserve">Hinweis</t>
  </si>
  <si>
    <t xml:space="preserve">Xylem</t>
  </si>
  <si>
    <t xml:space="preserve">XYL</t>
  </si>
  <si>
    <t xml:space="preserve">berechnet, Kurs 103 USD</t>
  </si>
  <si>
    <t xml:space="preserve">Veralto</t>
  </si>
  <si>
    <t xml:space="preserve">VLTO</t>
  </si>
  <si>
    <t xml:space="preserve">GESCHÄTZT; EV/EBITDA trailing (multiples.vc)</t>
  </si>
  <si>
    <t xml:space="preserve">Pentair</t>
  </si>
  <si>
    <t xml:space="preserve">PNR</t>
  </si>
  <si>
    <t xml:space="preserve">GESCHÄTZT (Koala Gains, ~Aug 2026)</t>
  </si>
  <si>
    <t xml:space="preserve">Watts Water</t>
  </si>
  <si>
    <t xml:space="preserve">WTS</t>
  </si>
  <si>
    <t xml:space="preserve">GESCHÄTZT; Peer-Schätzung</t>
  </si>
  <si>
    <t xml:space="preserve">Badger Meter</t>
  </si>
  <si>
    <t xml:space="preserve">BMI</t>
  </si>
  <si>
    <t xml:space="preserve">stockanalysis.com 02.10.2026; Rendite geschätzt</t>
  </si>
  <si>
    <t xml:space="preserve">Median Konkurrenten</t>
  </si>
  <si>
    <t xml:space="preserve">Xylem-Abschlag/-Aufschlag</t>
  </si>
  <si>
    <t xml:space="preserve">Implizierter Kurs bei Peer-Median-KGV</t>
  </si>
  <si>
    <t xml:space="preserve">Implizierter Kurs bei Peer-Median EV/EBITDA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</si>
</sst>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.0%"/>
    <numFmt numFmtId="167" formatCode="#,##0"/>
    <numFmt numFmtId="168" formatCode="0.000"/>
    <numFmt numFmtId="169" formatCode="0.00"/>
    <numFmt numFmtId="170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103</v>
      </c>
      <c r="C2" s="3" t="s">
        <v>4</v>
      </c>
    </row>
    <row r="3" customFormat="false" ht="15" hidden="false" customHeight="false" outlineLevel="0" collapsed="false">
      <c r="A3" s="0" t="s">
        <v>5</v>
      </c>
      <c r="B3" s="2" t="n">
        <v>243.5</v>
      </c>
      <c r="C3" s="3" t="s">
        <v>6</v>
      </c>
    </row>
    <row r="4" customFormat="false" ht="15" hidden="false" customHeight="false" outlineLevel="0" collapsed="false">
      <c r="A4" s="0" t="s">
        <v>7</v>
      </c>
      <c r="B4" s="2" t="n">
        <v>500</v>
      </c>
      <c r="C4" s="3" t="s">
        <v>8</v>
      </c>
    </row>
    <row r="5" customFormat="false" ht="15" hidden="false" customHeight="false" outlineLevel="0" collapsed="false">
      <c r="A5" s="0" t="s">
        <v>9</v>
      </c>
      <c r="B5" s="2" t="n">
        <v>9035</v>
      </c>
      <c r="C5" s="3" t="s">
        <v>10</v>
      </c>
    </row>
    <row r="6" customFormat="false" ht="15" hidden="false" customHeight="false" outlineLevel="0" collapsed="false">
      <c r="A6" s="0" t="s">
        <v>11</v>
      </c>
      <c r="B6" s="2" t="n">
        <v>9200</v>
      </c>
      <c r="C6" s="3" t="s">
        <v>12</v>
      </c>
    </row>
    <row r="7" customFormat="false" ht="15" hidden="false" customHeight="false" outlineLevel="0" collapsed="false">
      <c r="A7" s="0" t="s">
        <v>13</v>
      </c>
      <c r="B7" s="2" t="n">
        <v>0.231</v>
      </c>
      <c r="C7" s="3" t="s">
        <v>14</v>
      </c>
    </row>
    <row r="8" customFormat="false" ht="15" hidden="false" customHeight="false" outlineLevel="0" collapsed="false">
      <c r="A8" s="0" t="s">
        <v>15</v>
      </c>
      <c r="B8" s="2" t="n">
        <v>5.625</v>
      </c>
      <c r="C8" s="3" t="s">
        <v>16</v>
      </c>
    </row>
    <row r="9" customFormat="false" ht="15" hidden="false" customHeight="false" outlineLevel="0" collapsed="false">
      <c r="A9" s="0" t="s">
        <v>17</v>
      </c>
      <c r="B9" s="2" t="n">
        <v>1.72</v>
      </c>
      <c r="C9" s="3" t="s">
        <v>18</v>
      </c>
    </row>
    <row r="10" customFormat="false" ht="15" hidden="false" customHeight="false" outlineLevel="0" collapsed="false">
      <c r="A10" s="0" t="s">
        <v>19</v>
      </c>
      <c r="B10" s="2" t="n">
        <v>910</v>
      </c>
      <c r="C10" s="3" t="s">
        <v>10</v>
      </c>
    </row>
    <row r="11" customFormat="false" ht="15" hidden="false" customHeight="false" outlineLevel="0" collapsed="false">
      <c r="A11" s="0" t="s">
        <v>20</v>
      </c>
      <c r="B11" s="2" t="n">
        <v>0.21</v>
      </c>
      <c r="C11" s="3" t="s">
        <v>21</v>
      </c>
    </row>
    <row r="13" customFormat="false" ht="15" hidden="false" customHeight="false" outlineLevel="0" collapsed="false">
      <c r="A13" s="0" t="s">
        <v>22</v>
      </c>
      <c r="B13" s="0" t="n">
        <f aca="false">B2*B3</f>
        <v>25080.5</v>
      </c>
    </row>
    <row r="14" customFormat="false" ht="15" hidden="false" customHeight="false" outlineLevel="0" collapsed="false">
      <c r="A14" s="0" t="s">
        <v>23</v>
      </c>
      <c r="B14" s="0" t="n">
        <f aca="false">B13+B4</f>
        <v>25580.5</v>
      </c>
    </row>
    <row r="15" customFormat="false" ht="15" hidden="false" customHeight="false" outlineLevel="0" collapsed="false">
      <c r="A15" s="0" t="s">
        <v>24</v>
      </c>
      <c r="B15" s="4" t="n">
        <f aca="false">B2/B8</f>
        <v>18.3111111111111</v>
      </c>
    </row>
    <row r="16" customFormat="false" ht="15" hidden="false" customHeight="false" outlineLevel="0" collapsed="false">
      <c r="A16" s="0" t="s">
        <v>25</v>
      </c>
      <c r="B16" s="4" t="n">
        <f aca="false">B14/(B6*B7)</f>
        <v>12.0367494824017</v>
      </c>
    </row>
    <row r="17" customFormat="false" ht="15" hidden="false" customHeight="false" outlineLevel="0" collapsed="false">
      <c r="A17" s="0" t="s">
        <v>26</v>
      </c>
      <c r="B17" s="5" t="n">
        <f aca="false">B9/B2</f>
        <v>0.0166990291262136</v>
      </c>
    </row>
    <row r="18" customFormat="false" ht="15" hidden="false" customHeight="false" outlineLevel="0" collapsed="false">
      <c r="A18" s="0" t="s">
        <v>27</v>
      </c>
      <c r="B18" s="5" t="n">
        <f aca="false">B6*0.106/B13</f>
        <v>0.0388827973923965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1" t="s">
        <v>28</v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 customFormat="false" ht="15" hidden="false" customHeight="false" outlineLevel="0" collapsed="false">
      <c r="A2" s="0" t="s">
        <v>29</v>
      </c>
      <c r="B2" s="2" t="n">
        <v>5195</v>
      </c>
      <c r="C2" s="2" t="n">
        <v>5522</v>
      </c>
      <c r="D2" s="2" t="n">
        <v>7364</v>
      </c>
      <c r="E2" s="2" t="n">
        <v>8562</v>
      </c>
      <c r="F2" s="2" t="n">
        <v>9035</v>
      </c>
    </row>
    <row r="3" customFormat="false" ht="15" hidden="false" customHeight="false" outlineLevel="0" collapsed="false">
      <c r="A3" s="0" t="s">
        <v>30</v>
      </c>
      <c r="B3" s="2" t="n">
        <v>427</v>
      </c>
      <c r="C3" s="2" t="n">
        <v>355</v>
      </c>
      <c r="D3" s="2" t="n">
        <v>609</v>
      </c>
      <c r="E3" s="2" t="n">
        <v>890</v>
      </c>
      <c r="F3" s="2" t="n">
        <v>956</v>
      </c>
    </row>
    <row r="4" customFormat="false" ht="15" hidden="false" customHeight="false" outlineLevel="0" collapsed="false">
      <c r="A4" s="0" t="s">
        <v>31</v>
      </c>
      <c r="B4" s="2" t="n">
        <v>2.35</v>
      </c>
      <c r="C4" s="2" t="n">
        <v>1.96</v>
      </c>
      <c r="D4" s="2" t="n">
        <v>2.79</v>
      </c>
      <c r="E4" s="2" t="n">
        <v>3.65</v>
      </c>
      <c r="F4" s="2" t="n">
        <v>3.92</v>
      </c>
    </row>
    <row r="5" customFormat="false" ht="15" hidden="false" customHeight="false" outlineLevel="0" collapsed="false">
      <c r="A5" s="0" t="s">
        <v>32</v>
      </c>
      <c r="B5" s="2" t="n">
        <v>2.35</v>
      </c>
      <c r="C5" s="2" t="n">
        <v>3.02</v>
      </c>
      <c r="D5" s="2" t="n">
        <v>3.8</v>
      </c>
      <c r="E5" s="2" t="n">
        <v>4.27</v>
      </c>
      <c r="F5" s="2" t="n">
        <v>5.08</v>
      </c>
    </row>
    <row r="6" customFormat="false" ht="15" hidden="false" customHeight="false" outlineLevel="0" collapsed="false">
      <c r="A6" s="0" t="s">
        <v>33</v>
      </c>
      <c r="B6" s="2" t="n">
        <v>538</v>
      </c>
      <c r="C6" s="2" t="n">
        <v>596</v>
      </c>
      <c r="D6" s="2" t="n">
        <v>912</v>
      </c>
      <c r="E6" s="2" t="n">
        <v>1263</v>
      </c>
      <c r="F6" s="2" t="n">
        <v>1241</v>
      </c>
    </row>
    <row r="7" customFormat="false" ht="15" hidden="false" customHeight="false" outlineLevel="0" collapsed="false">
      <c r="A7" s="0" t="s">
        <v>34</v>
      </c>
      <c r="B7" s="2" t="n">
        <v>208</v>
      </c>
      <c r="C7" s="2" t="n">
        <v>208</v>
      </c>
      <c r="D7" s="2" t="n">
        <v>277</v>
      </c>
      <c r="E7" s="2" t="n">
        <v>323</v>
      </c>
      <c r="F7" s="2" t="n">
        <v>331</v>
      </c>
    </row>
    <row r="8" customFormat="false" ht="15" hidden="false" customHeight="false" outlineLevel="0" collapsed="false">
      <c r="A8" s="0" t="s">
        <v>35</v>
      </c>
      <c r="B8" s="2" t="n">
        <v>1.12</v>
      </c>
      <c r="C8" s="2" t="n">
        <v>1.2</v>
      </c>
      <c r="D8" s="2" t="n">
        <v>1.32</v>
      </c>
      <c r="E8" s="2" t="n">
        <v>1.44</v>
      </c>
      <c r="F8" s="2" t="n">
        <v>1.6</v>
      </c>
    </row>
    <row r="9" customFormat="false" ht="15" hidden="false" customHeight="false" outlineLevel="0" collapsed="false">
      <c r="A9" s="0" t="s">
        <v>36</v>
      </c>
      <c r="B9" s="0" t="n">
        <f aca="false">B6-B7</f>
        <v>330</v>
      </c>
      <c r="C9" s="0" t="n">
        <f aca="false">C6-C7</f>
        <v>388</v>
      </c>
      <c r="D9" s="0" t="n">
        <f aca="false">D6-D7</f>
        <v>635</v>
      </c>
      <c r="E9" s="0" t="n">
        <f aca="false">E6-E7</f>
        <v>940</v>
      </c>
      <c r="F9" s="0" t="n">
        <f aca="false">F6-F7</f>
        <v>910</v>
      </c>
    </row>
    <row r="10" customFormat="false" ht="15" hidden="false" customHeight="false" outlineLevel="0" collapsed="false">
      <c r="A10" s="0" t="s">
        <v>37</v>
      </c>
      <c r="B10" s="5" t="n">
        <f aca="false">B3/B2</f>
        <v>0.0821944177093359</v>
      </c>
      <c r="C10" s="5" t="n">
        <f aca="false">C3/C2</f>
        <v>0.0642883013400942</v>
      </c>
      <c r="D10" s="5" t="n">
        <f aca="false">D3/D2</f>
        <v>0.0826996197718631</v>
      </c>
      <c r="E10" s="5" t="n">
        <f aca="false">E3/E2</f>
        <v>0.103947675776688</v>
      </c>
      <c r="F10" s="5" t="n">
        <f aca="false">F3/F2</f>
        <v>0.105810736026563</v>
      </c>
    </row>
    <row r="11" customFormat="false" ht="15" hidden="false" customHeight="false" outlineLevel="0" collapsed="false">
      <c r="A11" s="0" t="s">
        <v>38</v>
      </c>
      <c r="B11" s="5" t="n">
        <f aca="false">B9/B2</f>
        <v>0.0635226179018287</v>
      </c>
      <c r="C11" s="5" t="n">
        <f aca="false">C9/C2</f>
        <v>0.070264396957624</v>
      </c>
      <c r="D11" s="5" t="n">
        <f aca="false">D9/D2</f>
        <v>0.08623030961434</v>
      </c>
      <c r="E11" s="5" t="n">
        <f aca="false">E9/E2</f>
        <v>0.109787432842794</v>
      </c>
      <c r="F11" s="5" t="n">
        <f aca="false">F9/F2</f>
        <v>0.100719424460432</v>
      </c>
    </row>
    <row r="12" customFormat="false" ht="15" hidden="false" customHeight="false" outlineLevel="0" collapsed="false">
      <c r="A12" s="0" t="s">
        <v>39</v>
      </c>
      <c r="C12" s="5" t="n">
        <f aca="false">C2/B2-1</f>
        <v>0.0629451395572667</v>
      </c>
      <c r="D12" s="5" t="n">
        <f aca="false">D2/C2-1</f>
        <v>0.333574791742122</v>
      </c>
      <c r="E12" s="5" t="n">
        <f aca="false">E2/D2-1</f>
        <v>0.162683324280283</v>
      </c>
      <c r="F12" s="5" t="n">
        <f aca="false">F2/E2-1</f>
        <v>0.0552441018453633</v>
      </c>
    </row>
    <row r="14" customFormat="false" ht="15" hidden="false" customHeight="false" outlineLevel="0" collapsed="false">
      <c r="A14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6" t="s">
        <v>41</v>
      </c>
    </row>
    <row r="2" customFormat="false" ht="15" hidden="false" customHeight="false" outlineLevel="0" collapsed="false">
      <c r="A2" s="0" t="s">
        <v>42</v>
      </c>
      <c r="B2" s="7" t="n">
        <v>0.095</v>
      </c>
    </row>
    <row r="3" customFormat="false" ht="15" hidden="false" customHeight="false" outlineLevel="0" collapsed="false">
      <c r="A3" s="0" t="s">
        <v>43</v>
      </c>
      <c r="B3" s="7" t="n">
        <v>0.025</v>
      </c>
    </row>
    <row r="4" customFormat="false" ht="15" hidden="false" customHeight="false" outlineLevel="0" collapsed="false">
      <c r="A4" s="1"/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</row>
    <row r="5" customFormat="false" ht="15" hidden="false" customHeight="false" outlineLevel="0" collapsed="false">
      <c r="A5" s="0" t="s">
        <v>39</v>
      </c>
      <c r="B5" s="7" t="n">
        <v>0.02</v>
      </c>
      <c r="C5" s="7" t="n">
        <v>0.025</v>
      </c>
      <c r="D5" s="7" t="n">
        <v>0.03</v>
      </c>
      <c r="E5" s="7" t="n">
        <v>0.03</v>
      </c>
      <c r="F5" s="7" t="n">
        <v>0.03</v>
      </c>
    </row>
    <row r="6" customFormat="false" ht="15" hidden="false" customHeight="false" outlineLevel="0" collapsed="false">
      <c r="A6" s="0" t="s">
        <v>29</v>
      </c>
      <c r="B6" s="8" t="n">
        <f aca="false">Annahmen!B6*(1+B5)</f>
        <v>9384</v>
      </c>
      <c r="C6" s="8" t="n">
        <f aca="false">B6*(1+C5)</f>
        <v>9618.6</v>
      </c>
      <c r="D6" s="8" t="n">
        <f aca="false">C6*(1+D5)</f>
        <v>9907.158</v>
      </c>
      <c r="E6" s="8" t="n">
        <f aca="false">D6*(1+E5)</f>
        <v>10204.37274</v>
      </c>
      <c r="F6" s="8" t="n">
        <f aca="false">E6*(1+F5)</f>
        <v>10510.5039222</v>
      </c>
    </row>
    <row r="7" customFormat="false" ht="15" hidden="false" customHeight="false" outlineLevel="0" collapsed="false">
      <c r="A7" s="0" t="s">
        <v>38</v>
      </c>
      <c r="B7" s="7" t="n">
        <v>0.102</v>
      </c>
      <c r="C7" s="7" t="n">
        <v>0.104</v>
      </c>
      <c r="D7" s="7" t="n">
        <v>0.106</v>
      </c>
      <c r="E7" s="7" t="n">
        <v>0.108</v>
      </c>
      <c r="F7" s="7" t="n">
        <v>0.11</v>
      </c>
    </row>
    <row r="8" customFormat="false" ht="15" hidden="false" customHeight="false" outlineLevel="0" collapsed="false">
      <c r="A8" s="0" t="s">
        <v>36</v>
      </c>
      <c r="B8" s="8" t="n">
        <f aca="false">B6*B7</f>
        <v>957.168</v>
      </c>
      <c r="C8" s="8" t="n">
        <f aca="false">C6*C7</f>
        <v>1000.3344</v>
      </c>
      <c r="D8" s="8" t="n">
        <f aca="false">D6*D7</f>
        <v>1050.158748</v>
      </c>
      <c r="E8" s="8" t="n">
        <f aca="false">E6*E7</f>
        <v>1102.07225592</v>
      </c>
      <c r="F8" s="8" t="n">
        <f aca="false">F6*F7</f>
        <v>1156.155431442</v>
      </c>
    </row>
    <row r="9" customFormat="false" ht="15" hidden="false" customHeight="false" outlineLevel="0" collapsed="false">
      <c r="A9" s="0" t="s">
        <v>49</v>
      </c>
      <c r="B9" s="9" t="n">
        <f aca="false">1/(1+$B$2)^(0+0.8)</f>
        <v>0.929969498564852</v>
      </c>
      <c r="C9" s="9" t="n">
        <f aca="false">1/(1+$B$2)^(1+0.8)</f>
        <v>0.849287213301235</v>
      </c>
      <c r="D9" s="9" t="n">
        <f aca="false">1/(1+$B$2)^(2+0.8)</f>
        <v>0.775604761005694</v>
      </c>
      <c r="E9" s="9" t="n">
        <f aca="false">1/(1+$B$2)^(3+0.8)</f>
        <v>0.70831485023351</v>
      </c>
      <c r="F9" s="9" t="n">
        <f aca="false">1/(1+$B$2)^(4+0.8)</f>
        <v>0.64686287692558</v>
      </c>
    </row>
    <row r="10" customFormat="false" ht="15" hidden="false" customHeight="false" outlineLevel="0" collapsed="false">
      <c r="A10" s="0" t="s">
        <v>50</v>
      </c>
      <c r="B10" s="8" t="n">
        <f aca="false">B8*B9</f>
        <v>890.137045002322</v>
      </c>
      <c r="C10" s="8" t="n">
        <f aca="false">C8*C9</f>
        <v>849.571214945363</v>
      </c>
      <c r="D10" s="8" t="n">
        <f aca="false">D8*D9</f>
        <v>814.508124760579</v>
      </c>
      <c r="E10" s="8" t="n">
        <f aca="false">E8*E9</f>
        <v>780.614144898482</v>
      </c>
      <c r="F10" s="8" t="n">
        <f aca="false">F8*F9</f>
        <v>747.874028555708</v>
      </c>
    </row>
    <row r="11" customFormat="false" ht="15" hidden="false" customHeight="false" outlineLevel="0" collapsed="false">
      <c r="A11" s="0" t="s">
        <v>51</v>
      </c>
      <c r="B11" s="8" t="n">
        <f aca="false">SUM(B10:F10)</f>
        <v>4082.70455816245</v>
      </c>
    </row>
    <row r="12" customFormat="false" ht="15" hidden="false" customHeight="false" outlineLevel="0" collapsed="false">
      <c r="A12" s="0" t="s">
        <v>52</v>
      </c>
      <c r="B12" s="8" t="n">
        <f aca="false">F8*(1+B3)/(B2-B3)</f>
        <v>16929.4188175436</v>
      </c>
    </row>
    <row r="13" customFormat="false" ht="15" hidden="false" customHeight="false" outlineLevel="0" collapsed="false">
      <c r="A13" s="0" t="s">
        <v>53</v>
      </c>
      <c r="B13" s="8" t="n">
        <f aca="false">B12*F9</f>
        <v>10951.0125609943</v>
      </c>
    </row>
    <row r="14" customFormat="false" ht="15" hidden="false" customHeight="false" outlineLevel="0" collapsed="false">
      <c r="A14" s="0" t="s">
        <v>54</v>
      </c>
      <c r="B14" s="8" t="n">
        <f aca="false">B11+B13</f>
        <v>15033.7171191567</v>
      </c>
    </row>
    <row r="15" customFormat="false" ht="15" hidden="false" customHeight="false" outlineLevel="0" collapsed="false">
      <c r="A15" s="0" t="s">
        <v>55</v>
      </c>
      <c r="B15" s="8" t="n">
        <f aca="false">Annahmen!B4</f>
        <v>500</v>
      </c>
    </row>
    <row r="16" customFormat="false" ht="15" hidden="false" customHeight="false" outlineLevel="0" collapsed="false">
      <c r="A16" s="0" t="s">
        <v>56</v>
      </c>
      <c r="B16" s="8" t="n">
        <f aca="false">B14-B15</f>
        <v>14533.7171191567</v>
      </c>
    </row>
    <row r="17" customFormat="false" ht="15" hidden="false" customHeight="false" outlineLevel="0" collapsed="false">
      <c r="A17" s="10" t="s">
        <v>57</v>
      </c>
      <c r="B17" s="11" t="n">
        <f aca="false">B16/Annahmen!B3</f>
        <v>59.6867232819579</v>
      </c>
    </row>
    <row r="18" customFormat="false" ht="15" hidden="false" customHeight="false" outlineLevel="0" collapsed="false">
      <c r="A18" s="0" t="s">
        <v>58</v>
      </c>
      <c r="B18" s="5" t="n">
        <f aca="false">B17/Annahmen!B2-1</f>
        <v>-0.42051724968973</v>
      </c>
    </row>
    <row r="19" customFormat="false" ht="15" hidden="false" customHeight="false" outlineLevel="0" collapsed="false">
      <c r="A19" s="0" t="s">
        <v>59</v>
      </c>
      <c r="B19" s="5" t="n">
        <f aca="false">B13/B14</f>
        <v>0.728430133026778</v>
      </c>
    </row>
    <row r="22" customFormat="false" ht="15" hidden="false" customHeight="false" outlineLevel="0" collapsed="false">
      <c r="A22" s="6" t="s">
        <v>60</v>
      </c>
    </row>
    <row r="23" customFormat="false" ht="15" hidden="false" customHeight="false" outlineLevel="0" collapsed="false">
      <c r="A23" s="0" t="s">
        <v>42</v>
      </c>
      <c r="B23" s="7" t="n">
        <v>0.085</v>
      </c>
    </row>
    <row r="24" customFormat="false" ht="15" hidden="false" customHeight="false" outlineLevel="0" collapsed="false">
      <c r="A24" s="0" t="s">
        <v>43</v>
      </c>
      <c r="B24" s="7" t="n">
        <v>0.03</v>
      </c>
    </row>
    <row r="25" customFormat="false" ht="15" hidden="false" customHeight="false" outlineLevel="0" collapsed="false">
      <c r="A25" s="1"/>
      <c r="B25" s="1" t="s">
        <v>44</v>
      </c>
      <c r="C25" s="1" t="s">
        <v>45</v>
      </c>
      <c r="D25" s="1" t="s">
        <v>46</v>
      </c>
      <c r="E25" s="1" t="s">
        <v>47</v>
      </c>
      <c r="F25" s="1" t="s">
        <v>48</v>
      </c>
    </row>
    <row r="26" customFormat="false" ht="15" hidden="false" customHeight="false" outlineLevel="0" collapsed="false">
      <c r="A26" s="0" t="s">
        <v>39</v>
      </c>
      <c r="B26" s="7" t="n">
        <v>0.045</v>
      </c>
      <c r="C26" s="7" t="n">
        <v>0.05</v>
      </c>
      <c r="D26" s="7" t="n">
        <v>0.05</v>
      </c>
      <c r="E26" s="7" t="n">
        <v>0.05</v>
      </c>
      <c r="F26" s="7" t="n">
        <v>0.05</v>
      </c>
    </row>
    <row r="27" customFormat="false" ht="15" hidden="false" customHeight="false" outlineLevel="0" collapsed="false">
      <c r="A27" s="0" t="s">
        <v>29</v>
      </c>
      <c r="B27" s="8" t="n">
        <f aca="false">Annahmen!B6*(1+B26)</f>
        <v>9614</v>
      </c>
      <c r="C27" s="8" t="n">
        <f aca="false">B27*(1+C26)</f>
        <v>10094.7</v>
      </c>
      <c r="D27" s="8" t="n">
        <f aca="false">C27*(1+D26)</f>
        <v>10599.435</v>
      </c>
      <c r="E27" s="8" t="n">
        <f aca="false">D27*(1+E26)</f>
        <v>11129.40675</v>
      </c>
      <c r="F27" s="8" t="n">
        <f aca="false">E27*(1+F26)</f>
        <v>11685.8770875</v>
      </c>
    </row>
    <row r="28" customFormat="false" ht="15" hidden="false" customHeight="false" outlineLevel="0" collapsed="false">
      <c r="A28" s="0" t="s">
        <v>38</v>
      </c>
      <c r="B28" s="7" t="n">
        <v>0.11</v>
      </c>
      <c r="C28" s="7" t="n">
        <v>0.115</v>
      </c>
      <c r="D28" s="7" t="n">
        <v>0.12</v>
      </c>
      <c r="E28" s="7" t="n">
        <v>0.125</v>
      </c>
      <c r="F28" s="7" t="n">
        <v>0.13</v>
      </c>
    </row>
    <row r="29" customFormat="false" ht="15" hidden="false" customHeight="false" outlineLevel="0" collapsed="false">
      <c r="A29" s="0" t="s">
        <v>36</v>
      </c>
      <c r="B29" s="8" t="n">
        <f aca="false">B27*B28</f>
        <v>1057.54</v>
      </c>
      <c r="C29" s="8" t="n">
        <f aca="false">C27*C28</f>
        <v>1160.8905</v>
      </c>
      <c r="D29" s="8" t="n">
        <f aca="false">D27*D28</f>
        <v>1271.9322</v>
      </c>
      <c r="E29" s="8" t="n">
        <f aca="false">E27*E28</f>
        <v>1391.17584375</v>
      </c>
      <c r="F29" s="8" t="n">
        <f aca="false">F27*F28</f>
        <v>1519.164021375</v>
      </c>
    </row>
    <row r="30" customFormat="false" ht="15" hidden="false" customHeight="false" outlineLevel="0" collapsed="false">
      <c r="A30" s="0" t="s">
        <v>49</v>
      </c>
      <c r="B30" s="9" t="n">
        <f aca="false">1/(1+$B$23)^(0+0.8)</f>
        <v>0.936820119967733</v>
      </c>
      <c r="C30" s="9" t="n">
        <f aca="false">1/(1+$B$23)^(1+0.8)</f>
        <v>0.863428681997911</v>
      </c>
      <c r="D30" s="9" t="n">
        <f aca="false">1/(1+$B$23)^(2+0.8)</f>
        <v>0.79578680368471</v>
      </c>
      <c r="E30" s="9" t="n">
        <f aca="false">1/(1+$B$23)^(3+0.8)</f>
        <v>0.733444058695586</v>
      </c>
      <c r="F30" s="9" t="n">
        <f aca="false">1/(1+$B$23)^(4+0.8)</f>
        <v>0.675985307553535</v>
      </c>
    </row>
    <row r="31" customFormat="false" ht="15" hidden="false" customHeight="false" outlineLevel="0" collapsed="false">
      <c r="A31" s="0" t="s">
        <v>50</v>
      </c>
      <c r="B31" s="8" t="n">
        <f aca="false">B29*B30</f>
        <v>990.724749670677</v>
      </c>
      <c r="C31" s="8" t="n">
        <f aca="false">C29*C30</f>
        <v>1002.3461543589</v>
      </c>
      <c r="D31" s="8" t="n">
        <f aca="false">D29*D30</f>
        <v>1012.18685994166</v>
      </c>
      <c r="E31" s="8" t="n">
        <f aca="false">E29*E30</f>
        <v>1020.34965719926</v>
      </c>
      <c r="F31" s="8" t="n">
        <f aca="false">F29*F30</f>
        <v>1026.93255821345</v>
      </c>
    </row>
    <row r="32" customFormat="false" ht="15" hidden="false" customHeight="false" outlineLevel="0" collapsed="false">
      <c r="A32" s="0" t="s">
        <v>51</v>
      </c>
      <c r="B32" s="8" t="n">
        <f aca="false">SUM(B31:F31)</f>
        <v>5052.53997938394</v>
      </c>
    </row>
    <row r="33" customFormat="false" ht="15" hidden="false" customHeight="false" outlineLevel="0" collapsed="false">
      <c r="A33" s="0" t="s">
        <v>52</v>
      </c>
      <c r="B33" s="8" t="n">
        <f aca="false">F29*(1+B24)/(B23-B24)</f>
        <v>28449.79894575</v>
      </c>
    </row>
    <row r="34" customFormat="false" ht="15" hidden="false" customHeight="false" outlineLevel="0" collapsed="false">
      <c r="A34" s="0" t="s">
        <v>53</v>
      </c>
      <c r="B34" s="8" t="n">
        <f aca="false">B33*F30</f>
        <v>19231.6460901791</v>
      </c>
    </row>
    <row r="35" customFormat="false" ht="15" hidden="false" customHeight="false" outlineLevel="0" collapsed="false">
      <c r="A35" s="0" t="s">
        <v>54</v>
      </c>
      <c r="B35" s="8" t="n">
        <f aca="false">B32+B34</f>
        <v>24284.186069563</v>
      </c>
    </row>
    <row r="36" customFormat="false" ht="15" hidden="false" customHeight="false" outlineLevel="0" collapsed="false">
      <c r="A36" s="0" t="s">
        <v>55</v>
      </c>
      <c r="B36" s="8" t="n">
        <f aca="false">Annahmen!B4</f>
        <v>500</v>
      </c>
    </row>
    <row r="37" customFormat="false" ht="15" hidden="false" customHeight="false" outlineLevel="0" collapsed="false">
      <c r="A37" s="0" t="s">
        <v>56</v>
      </c>
      <c r="B37" s="8" t="n">
        <f aca="false">B35-B36</f>
        <v>23784.186069563</v>
      </c>
    </row>
    <row r="38" customFormat="false" ht="15" hidden="false" customHeight="false" outlineLevel="0" collapsed="false">
      <c r="A38" s="10" t="s">
        <v>57</v>
      </c>
      <c r="B38" s="11" t="n">
        <f aca="false">B37/Annahmen!B3</f>
        <v>97.6763288277741</v>
      </c>
    </row>
    <row r="39" customFormat="false" ht="15" hidden="false" customHeight="false" outlineLevel="0" collapsed="false">
      <c r="A39" s="0" t="s">
        <v>58</v>
      </c>
      <c r="B39" s="5" t="n">
        <f aca="false">B38/Annahmen!B2-1</f>
        <v>-0.0516861278856884</v>
      </c>
    </row>
    <row r="40" customFormat="false" ht="15" hidden="false" customHeight="false" outlineLevel="0" collapsed="false">
      <c r="A40" s="0" t="s">
        <v>59</v>
      </c>
      <c r="B40" s="5" t="n">
        <f aca="false">B34/B35</f>
        <v>0.791941143717531</v>
      </c>
    </row>
    <row r="43" customFormat="false" ht="15" hidden="false" customHeight="false" outlineLevel="0" collapsed="false">
      <c r="A43" s="6" t="s">
        <v>61</v>
      </c>
    </row>
    <row r="44" customFormat="false" ht="15" hidden="false" customHeight="false" outlineLevel="0" collapsed="false">
      <c r="A44" s="0" t="s">
        <v>42</v>
      </c>
      <c r="B44" s="7" t="n">
        <v>0.08</v>
      </c>
    </row>
    <row r="45" customFormat="false" ht="15" hidden="false" customHeight="false" outlineLevel="0" collapsed="false">
      <c r="A45" s="0" t="s">
        <v>43</v>
      </c>
      <c r="B45" s="7" t="n">
        <v>0.03</v>
      </c>
    </row>
    <row r="46" customFormat="false" ht="15" hidden="false" customHeight="false" outlineLevel="0" collapsed="false">
      <c r="A46" s="1"/>
      <c r="B46" s="1" t="s">
        <v>44</v>
      </c>
      <c r="C46" s="1" t="s">
        <v>45</v>
      </c>
      <c r="D46" s="1" t="s">
        <v>46</v>
      </c>
      <c r="E46" s="1" t="s">
        <v>47</v>
      </c>
      <c r="F46" s="1" t="s">
        <v>48</v>
      </c>
    </row>
    <row r="47" customFormat="false" ht="15" hidden="false" customHeight="false" outlineLevel="0" collapsed="false">
      <c r="A47" s="0" t="s">
        <v>39</v>
      </c>
      <c r="B47" s="7" t="n">
        <v>0.065</v>
      </c>
      <c r="C47" s="7" t="n">
        <v>0.07</v>
      </c>
      <c r="D47" s="7" t="n">
        <v>0.07</v>
      </c>
      <c r="E47" s="7" t="n">
        <v>0.07</v>
      </c>
      <c r="F47" s="7" t="n">
        <v>0.07</v>
      </c>
    </row>
    <row r="48" customFormat="false" ht="15" hidden="false" customHeight="false" outlineLevel="0" collapsed="false">
      <c r="A48" s="0" t="s">
        <v>29</v>
      </c>
      <c r="B48" s="8" t="n">
        <f aca="false">Annahmen!B6*(1+B47)</f>
        <v>9798</v>
      </c>
      <c r="C48" s="8" t="n">
        <f aca="false">B48*(1+C47)</f>
        <v>10483.86</v>
      </c>
      <c r="D48" s="8" t="n">
        <f aca="false">C48*(1+D47)</f>
        <v>11217.7302</v>
      </c>
      <c r="E48" s="8" t="n">
        <f aca="false">D48*(1+E47)</f>
        <v>12002.971314</v>
      </c>
      <c r="F48" s="8" t="n">
        <f aca="false">E48*(1+F47)</f>
        <v>12843.17930598</v>
      </c>
    </row>
    <row r="49" customFormat="false" ht="15" hidden="false" customHeight="false" outlineLevel="0" collapsed="false">
      <c r="A49" s="0" t="s">
        <v>38</v>
      </c>
      <c r="B49" s="7" t="n">
        <v>0.115</v>
      </c>
      <c r="C49" s="7" t="n">
        <v>0.122</v>
      </c>
      <c r="D49" s="7" t="n">
        <v>0.129</v>
      </c>
      <c r="E49" s="7" t="n">
        <v>0.136</v>
      </c>
      <c r="F49" s="7" t="n">
        <v>0.142</v>
      </c>
    </row>
    <row r="50" customFormat="false" ht="15" hidden="false" customHeight="false" outlineLevel="0" collapsed="false">
      <c r="A50" s="0" t="s">
        <v>36</v>
      </c>
      <c r="B50" s="8" t="n">
        <f aca="false">B48*B49</f>
        <v>1126.77</v>
      </c>
      <c r="C50" s="8" t="n">
        <f aca="false">C48*C49</f>
        <v>1279.03092</v>
      </c>
      <c r="D50" s="8" t="n">
        <f aca="false">D48*D49</f>
        <v>1447.0871958</v>
      </c>
      <c r="E50" s="8" t="n">
        <f aca="false">E48*E49</f>
        <v>1632.404098704</v>
      </c>
      <c r="F50" s="8" t="n">
        <f aca="false">F48*F49</f>
        <v>1823.73146144916</v>
      </c>
    </row>
    <row r="51" customFormat="false" ht="15" hidden="false" customHeight="false" outlineLevel="0" collapsed="false">
      <c r="A51" s="0" t="s">
        <v>49</v>
      </c>
      <c r="B51" s="9" t="n">
        <f aca="false">1/(1+$B$44)^(0+0.8)</f>
        <v>0.940288220738409</v>
      </c>
      <c r="C51" s="9" t="n">
        <f aca="false">1/(1+$B$44)^(1+0.8)</f>
        <v>0.870637241424453</v>
      </c>
      <c r="D51" s="9" t="n">
        <f aca="false">1/(1+$B$44)^(2+0.8)</f>
        <v>0.80614559391153</v>
      </c>
      <c r="E51" s="9" t="n">
        <f aca="false">1/(1+$B$44)^(3+0.8)</f>
        <v>0.746431105473639</v>
      </c>
      <c r="F51" s="9" t="n">
        <f aca="false">1/(1+$B$44)^(4+0.8)</f>
        <v>0.691139912475592</v>
      </c>
    </row>
    <row r="52" customFormat="false" ht="15" hidden="false" customHeight="false" outlineLevel="0" collapsed="false">
      <c r="A52" s="0" t="s">
        <v>50</v>
      </c>
      <c r="B52" s="8" t="n">
        <f aca="false">B50*B51</f>
        <v>1059.48855848142</v>
      </c>
      <c r="C52" s="8" t="n">
        <f aca="false">C50*C51</f>
        <v>1113.57195188538</v>
      </c>
      <c r="D52" s="8" t="n">
        <f aca="false">D50*D51</f>
        <v>1166.56296689996</v>
      </c>
      <c r="E52" s="8" t="n">
        <f aca="false">E50*E51</f>
        <v>1218.47719597533</v>
      </c>
      <c r="F52" s="8" t="n">
        <f aca="false">F50*F51</f>
        <v>1260.45360264496</v>
      </c>
    </row>
    <row r="53" customFormat="false" ht="15" hidden="false" customHeight="false" outlineLevel="0" collapsed="false">
      <c r="A53" s="0" t="s">
        <v>51</v>
      </c>
      <c r="B53" s="8" t="n">
        <f aca="false">SUM(B52:F52)</f>
        <v>5818.55427588704</v>
      </c>
    </row>
    <row r="54" customFormat="false" ht="15" hidden="false" customHeight="false" outlineLevel="0" collapsed="false">
      <c r="A54" s="0" t="s">
        <v>52</v>
      </c>
      <c r="B54" s="8" t="n">
        <f aca="false">F50*(1+B45)/(B44-B45)</f>
        <v>37568.8681058527</v>
      </c>
    </row>
    <row r="55" customFormat="false" ht="15" hidden="false" customHeight="false" outlineLevel="0" collapsed="false">
      <c r="A55" s="0" t="s">
        <v>53</v>
      </c>
      <c r="B55" s="8" t="n">
        <f aca="false">B54*F51</f>
        <v>25965.3442144861</v>
      </c>
    </row>
    <row r="56" customFormat="false" ht="15" hidden="false" customHeight="false" outlineLevel="0" collapsed="false">
      <c r="A56" s="0" t="s">
        <v>54</v>
      </c>
      <c r="B56" s="8" t="n">
        <f aca="false">B53+B55</f>
        <v>31783.8984903731</v>
      </c>
    </row>
    <row r="57" customFormat="false" ht="15" hidden="false" customHeight="false" outlineLevel="0" collapsed="false">
      <c r="A57" s="0" t="s">
        <v>55</v>
      </c>
      <c r="B57" s="8" t="n">
        <f aca="false">Annahmen!B4</f>
        <v>500</v>
      </c>
    </row>
    <row r="58" customFormat="false" ht="15" hidden="false" customHeight="false" outlineLevel="0" collapsed="false">
      <c r="A58" s="0" t="s">
        <v>56</v>
      </c>
      <c r="B58" s="8" t="n">
        <f aca="false">B56-B57</f>
        <v>31283.8984903731</v>
      </c>
    </row>
    <row r="59" customFormat="false" ht="15" hidden="false" customHeight="false" outlineLevel="0" collapsed="false">
      <c r="A59" s="10" t="s">
        <v>57</v>
      </c>
      <c r="B59" s="11" t="n">
        <f aca="false">B58/Annahmen!B3</f>
        <v>128.475969159643</v>
      </c>
    </row>
    <row r="60" customFormat="false" ht="15" hidden="false" customHeight="false" outlineLevel="0" collapsed="false">
      <c r="A60" s="0" t="s">
        <v>58</v>
      </c>
      <c r="B60" s="5" t="n">
        <f aca="false">B59/Annahmen!B2-1</f>
        <v>0.247339506404303</v>
      </c>
    </row>
    <row r="61" customFormat="false" ht="15" hidden="false" customHeight="false" outlineLevel="0" collapsed="false">
      <c r="A61" s="0" t="s">
        <v>59</v>
      </c>
      <c r="B61" s="5" t="n">
        <f aca="false">B55/B56</f>
        <v>0.816933901999171</v>
      </c>
    </row>
    <row r="64" customFormat="false" ht="15" hidden="false" customHeight="false" outlineLevel="0" collapsed="false">
      <c r="A64" s="6" t="s">
        <v>62</v>
      </c>
    </row>
    <row r="65" customFormat="false" ht="15" hidden="false" customHeight="false" outlineLevel="0" collapsed="false">
      <c r="A65" s="0" t="s">
        <v>63</v>
      </c>
      <c r="B65" s="11" t="n">
        <f aca="false">B17</f>
        <v>59.6867232819579</v>
      </c>
      <c r="C65" s="5" t="n">
        <f aca="false">B18</f>
        <v>-0.42051724968973</v>
      </c>
    </row>
    <row r="66" customFormat="false" ht="15" hidden="false" customHeight="false" outlineLevel="0" collapsed="false">
      <c r="A66" s="0" t="s">
        <v>64</v>
      </c>
      <c r="B66" s="11" t="n">
        <f aca="false">B38</f>
        <v>97.6763288277741</v>
      </c>
      <c r="C66" s="5" t="n">
        <f aca="false">B39</f>
        <v>-0.0516861278856884</v>
      </c>
    </row>
    <row r="67" customFormat="false" ht="15" hidden="false" customHeight="false" outlineLevel="0" collapsed="false">
      <c r="A67" s="0" t="s">
        <v>65</v>
      </c>
      <c r="B67" s="11" t="n">
        <f aca="false">B59</f>
        <v>128.475969159643</v>
      </c>
      <c r="C67" s="5" t="n">
        <f aca="false">B60</f>
        <v>0.247339506404303</v>
      </c>
    </row>
    <row r="68" customFormat="false" ht="15" hidden="false" customHeight="false" outlineLevel="0" collapsed="false">
      <c r="A68" s="0" t="s">
        <v>66</v>
      </c>
      <c r="B68" s="11" t="n">
        <f aca="false">0.25*B65+0.5*B66+0.25*B67</f>
        <v>95.8788375242873</v>
      </c>
    </row>
    <row r="70" customFormat="false" ht="15" hidden="false" customHeight="false" outlineLevel="0" collapsed="false">
      <c r="A70" s="0" t="s">
        <v>67</v>
      </c>
    </row>
    <row r="72" customFormat="false" ht="15" hidden="false" customHeight="false" outlineLevel="0" collapsed="false">
      <c r="A72" s="10" t="s">
        <v>68</v>
      </c>
    </row>
    <row r="73" customFormat="false" ht="15" hidden="false" customHeight="false" outlineLevel="0" collapsed="false">
      <c r="B73" s="12" t="n">
        <v>0.02</v>
      </c>
      <c r="C73" s="12" t="n">
        <v>0.025</v>
      </c>
      <c r="D73" s="12" t="n">
        <v>0.03</v>
      </c>
      <c r="E73" s="12" t="n">
        <v>0.035</v>
      </c>
    </row>
    <row r="74" customFormat="false" ht="15" hidden="false" customHeight="false" outlineLevel="0" collapsed="false">
      <c r="A74" s="12" t="n">
        <v>0.075</v>
      </c>
      <c r="B74" s="13" t="n">
        <f aca="false">((B29/(1+$A74)^(0+0.8)+C29/(1+$A74)^(1+0.8)+D29/(1+$A74)^(2+0.8)+E29/(1+$A74)^(3+0.8)+F29/(1+$A74)^(4+0.8))+F29*(1+B$73)/($A74-B$73)/(1+$A74)^4.8-Annahmen!B4)/Annahmen!B3</f>
        <v>101.014452611661</v>
      </c>
      <c r="C74" s="13" t="n">
        <f aca="false">((B29/(1+$A74)^(0+0.8)+C29/(1+$A74)^(1+0.8)+D29/(1+$A74)^(2+0.8)+E29/(1+$A74)^(3+0.8)+F29/(1+$A74)^(4+0.8))+F29*(1+C$73)/($A74-C$73)/(1+$A74)^4.8-Annahmen!B4)/Annahmen!B3</f>
        <v>109.632142211041</v>
      </c>
      <c r="D74" s="13" t="n">
        <f aca="false">((B29/(1+$A74)^(0+0.8)+C29/(1+$A74)^(1+0.8)+D29/(1+$A74)^(2+0.8)+E29/(1+$A74)^(3+0.8)+F29/(1+$A74)^(4+0.8))+F29*(1+D$73)/($A74-D$73)/(1+$A74)^4.8-Annahmen!B4)/Annahmen!B3</f>
        <v>120.164873943615</v>
      </c>
      <c r="E74" s="13" t="n">
        <f aca="false">((B29/(1+$A74)^(0+0.8)+C29/(1+$A74)^(1+0.8)+D29/(1+$A74)^(2+0.8)+E29/(1+$A74)^(3+0.8)+F29/(1+$A74)^(4+0.8))+F29*(1+E$73)/($A74-E$73)/(1+$A74)^4.8-Annahmen!B4)/Annahmen!B3</f>
        <v>133.330788609334</v>
      </c>
    </row>
    <row r="75" customFormat="false" ht="15" hidden="false" customHeight="false" outlineLevel="0" collapsed="false">
      <c r="A75" s="12" t="n">
        <v>0.08</v>
      </c>
      <c r="B75" s="13" t="n">
        <f aca="false">((B29/(1+$A75)^(0+0.8)+C29/(1+$A75)^(1+0.8)+D29/(1+$A75)^(2+0.8)+E29/(1+$A75)^(3+0.8)+F29/(1+$A75)^(4+0.8))+F29*(1+B$73)/($A75-B$73)/(1+$A75)^4.8-Annahmen!B4)/Annahmen!B3</f>
        <v>92.2713526368116</v>
      </c>
      <c r="C75" s="13" t="n">
        <f aca="false">((B29/(1+$A75)^(0+0.8)+C29/(1+$A75)^(1+0.8)+D29/(1+$A75)^(2+0.8)+E29/(1+$A75)^(3+0.8)+F29/(1+$A75)^(4+0.8))+F29*(1+C$73)/($A75-C$73)/(1+$A75)^4.8-Annahmen!B4)/Annahmen!B3</f>
        <v>99.3272376462741</v>
      </c>
      <c r="D75" s="13" t="n">
        <f aca="false">((B29/(1+$A75)^(0+0.8)+C29/(1+$A75)^(1+0.8)+D29/(1+$A75)^(2+0.8)+E29/(1+$A75)^(3+0.8)+F29/(1+$A75)^(4+0.8))+F29*(1+D$73)/($A75-D$73)/(1+$A75)^4.8-Annahmen!B4)/Annahmen!B3</f>
        <v>107.794299657629</v>
      </c>
      <c r="E75" s="13" t="n">
        <f aca="false">((B29/(1+$A75)^(0+0.8)+C29/(1+$A75)^(1+0.8)+D29/(1+$A75)^(2+0.8)+E29/(1+$A75)^(3+0.8)+F29/(1+$A75)^(4+0.8))+F29*(1+E$73)/($A75-E$73)/(1+$A75)^4.8-Annahmen!B4)/Annahmen!B3</f>
        <v>118.142931004841</v>
      </c>
    </row>
    <row r="76" customFormat="false" ht="15" hidden="false" customHeight="false" outlineLevel="0" collapsed="false">
      <c r="A76" s="12" t="n">
        <v>0.085</v>
      </c>
      <c r="B76" s="13" t="n">
        <f aca="false">((B29/(1+$A76)^(0+0.8)+C29/(1+$A76)^(1+0.8)+D29/(1+$A76)^(2+0.8)+E29/(1+$A76)^(3+0.8)+F29/(1+$A76)^(4+0.8))+F29*(1+B$73)/($A76-B$73)/(1+$A76)^4.8-Annahmen!B4)/Annahmen!B3</f>
        <v>84.876721405002</v>
      </c>
      <c r="C76" s="13" t="n">
        <f aca="false">((B29/(1+$A76)^(0+0.8)+C29/(1+$A76)^(1+0.8)+D29/(1+$A76)^(2+0.8)+E29/(1+$A76)^(3+0.8)+F29/(1+$A76)^(4+0.8))+F29*(1+C$73)/($A76-C$73)/(1+$A76)^4.8-Annahmen!B4)/Annahmen!B3</f>
        <v>90.7432081404392</v>
      </c>
      <c r="D76" s="13" t="n">
        <f aca="false">((B29/(1+$A76)^(0+0.8)+C29/(1+$A76)^(1+0.8)+D29/(1+$A76)^(2+0.8)+E29/(1+$A76)^(3+0.8)+F29/(1+$A76)^(4+0.8))+F29*(1+D$73)/($A76-D$73)/(1+$A76)^4.8-Annahmen!B4)/Annahmen!B3</f>
        <v>97.6763288277741</v>
      </c>
      <c r="E76" s="13" t="n">
        <f aca="false">((B29/(1+$A76)^(0+0.8)+C29/(1+$A76)^(1+0.8)+D29/(1+$A76)^(2+0.8)+E29/(1+$A76)^(3+0.8)+F29/(1+$A76)^(4+0.8))+F29*(1+E$73)/($A76-E$73)/(1+$A76)^4.8-Annahmen!B4)/Annahmen!B3</f>
        <v>105.996073652576</v>
      </c>
    </row>
    <row r="77" customFormat="false" ht="15" hidden="false" customHeight="false" outlineLevel="0" collapsed="false">
      <c r="A77" s="12" t="n">
        <v>0.09</v>
      </c>
      <c r="B77" s="13" t="n">
        <f aca="false">((B29/(1+$A77)^(0+0.8)+C29/(1+$A77)^(1+0.8)+D29/(1+$A77)^(2+0.8)+E29/(1+$A77)^(3+0.8)+F29/(1+$A77)^(4+0.8))+F29*(1+B$73)/($A77-B$73)/(1+$A77)^4.8-Annahmen!B4)/Annahmen!B3</f>
        <v>78.5415253660778</v>
      </c>
      <c r="C77" s="13" t="n">
        <f aca="false">((B29/(1+$A77)^(0+0.8)+C29/(1+$A77)^(1+0.8)+D29/(1+$A77)^(2+0.8)+E29/(1+$A77)^(3+0.8)+F29/(1+$A77)^(4+0.8))+F29*(1+C$73)/($A77-C$73)/(1+$A77)^4.8-Annahmen!B4)/Annahmen!B3</f>
        <v>83.4828526093338</v>
      </c>
      <c r="D77" s="13" t="n">
        <f aca="false">((B29/(1+$A77)^(0+0.8)+C29/(1+$A77)^(1+0.8)+D29/(1+$A77)^(2+0.8)+E29/(1+$A77)^(3+0.8)+F29/(1+$A77)^(4+0.8))+F29*(1+D$73)/($A77-D$73)/(1+$A77)^4.8-Annahmen!B4)/Annahmen!B3</f>
        <v>89.2477343931326</v>
      </c>
      <c r="E77" s="13" t="n">
        <f aca="false">((B29/(1+$A77)^(0+0.8)+C29/(1+$A77)^(1+0.8)+D29/(1+$A77)^(2+0.8)+E29/(1+$A77)^(3+0.8)+F29/(1+$A77)^(4+0.8))+F29*(1+E$73)/($A77-E$73)/(1+$A77)^4.8-Annahmen!B4)/Annahmen!B3</f>
        <v>96.0607765012583</v>
      </c>
    </row>
    <row r="78" customFormat="false" ht="15" hidden="false" customHeight="false" outlineLevel="0" collapsed="false">
      <c r="A78" s="12" t="n">
        <v>0.095</v>
      </c>
      <c r="B78" s="13" t="n">
        <f aca="false">((B29/(1+$A78)^(0+0.8)+C29/(1+$A78)^(1+0.8)+D29/(1+$A78)^(2+0.8)+E29/(1+$A78)^(3+0.8)+F29/(1+$A78)^(4+0.8))+F29*(1+B$73)/($A78-B$73)/(1+$A78)^4.8-Annahmen!B4)/Annahmen!B3</f>
        <v>73.0538086147329</v>
      </c>
      <c r="C78" s="13" t="n">
        <f aca="false">((B29/(1+$A78)^(0+0.8)+C29/(1+$A78)^(1+0.8)+D29/(1+$A78)^(2+0.8)+E29/(1+$A78)^(3+0.8)+F29/(1+$A78)^(4+0.8))+F29*(1+C$73)/($A78-C$73)/(1+$A78)^4.8-Annahmen!B4)/Annahmen!B3</f>
        <v>77.2624580183913</v>
      </c>
      <c r="D78" s="13" t="n">
        <f aca="false">((B29/(1+$A78)^(0+0.8)+C29/(1+$A78)^(1+0.8)+D29/(1+$A78)^(2+0.8)+E29/(1+$A78)^(3+0.8)+F29/(1+$A78)^(4+0.8))+F29*(1+D$73)/($A78-D$73)/(1+$A78)^4.8-Annahmen!B4)/Annahmen!B3</f>
        <v>82.1185919456896</v>
      </c>
      <c r="E78" s="13" t="n">
        <f aca="false">((B29/(1+$A78)^(0+0.8)+C29/(1+$A78)^(1+0.8)+D29/(1+$A78)^(2+0.8)+E29/(1+$A78)^(3+0.8)+F29/(1+$A78)^(4+0.8))+F29*(1+E$73)/($A78-E$73)/(1+$A78)^4.8-Annahmen!B4)/Annahmen!B3</f>
        <v>87.7840815275375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72</v>
      </c>
      <c r="E1" s="1" t="s">
        <v>26</v>
      </c>
      <c r="F1" s="1" t="s">
        <v>73</v>
      </c>
    </row>
    <row r="2" customFormat="false" ht="15" hidden="false" customHeight="false" outlineLevel="0" collapsed="false">
      <c r="A2" s="0" t="s">
        <v>74</v>
      </c>
      <c r="B2" s="0" t="s">
        <v>75</v>
      </c>
      <c r="C2" s="4" t="n">
        <f aca="false">Annahmen!B15</f>
        <v>18.3111111111111</v>
      </c>
      <c r="D2" s="4" t="n">
        <f aca="false">Annahmen!B16</f>
        <v>12.0367494824017</v>
      </c>
      <c r="E2" s="5" t="n">
        <f aca="false">Annahmen!B17</f>
        <v>0.0166990291262136</v>
      </c>
      <c r="F2" s="3" t="s">
        <v>76</v>
      </c>
    </row>
    <row r="3" customFormat="false" ht="15" hidden="false" customHeight="false" outlineLevel="0" collapsed="false">
      <c r="A3" s="0" t="s">
        <v>77</v>
      </c>
      <c r="B3" s="0" t="s">
        <v>78</v>
      </c>
      <c r="C3" s="14" t="n">
        <v>22</v>
      </c>
      <c r="D3" s="14" t="n">
        <v>16.2</v>
      </c>
      <c r="E3" s="7" t="n">
        <v>0.005</v>
      </c>
      <c r="F3" s="3" t="s">
        <v>79</v>
      </c>
    </row>
    <row r="4" customFormat="false" ht="15" hidden="false" customHeight="false" outlineLevel="0" collapsed="false">
      <c r="A4" s="0" t="s">
        <v>80</v>
      </c>
      <c r="B4" s="0" t="s">
        <v>81</v>
      </c>
      <c r="C4" s="14" t="n">
        <v>15.5</v>
      </c>
      <c r="D4" s="14" t="n">
        <v>12.8</v>
      </c>
      <c r="E4" s="7" t="n">
        <v>0.011</v>
      </c>
      <c r="F4" s="3" t="s">
        <v>82</v>
      </c>
    </row>
    <row r="5" customFormat="false" ht="15" hidden="false" customHeight="false" outlineLevel="0" collapsed="false">
      <c r="A5" s="0" t="s">
        <v>83</v>
      </c>
      <c r="B5" s="0" t="s">
        <v>84</v>
      </c>
      <c r="C5" s="14" t="n">
        <v>22</v>
      </c>
      <c r="D5" s="14" t="n">
        <v>14</v>
      </c>
      <c r="E5" s="7" t="n">
        <v>0.008</v>
      </c>
      <c r="F5" s="3" t="s">
        <v>85</v>
      </c>
    </row>
    <row r="6" customFormat="false" ht="15" hidden="false" customHeight="false" outlineLevel="0" collapsed="false">
      <c r="A6" s="0" t="s">
        <v>86</v>
      </c>
      <c r="B6" s="0" t="s">
        <v>87</v>
      </c>
      <c r="C6" s="14" t="n">
        <v>26.8</v>
      </c>
      <c r="D6" s="14" t="n">
        <v>18.5</v>
      </c>
      <c r="E6" s="7" t="n">
        <v>0.008</v>
      </c>
      <c r="F6" s="3" t="s">
        <v>88</v>
      </c>
    </row>
    <row r="7" customFormat="false" ht="15" hidden="false" customHeight="false" outlineLevel="0" collapsed="false">
      <c r="A7" s="10" t="s">
        <v>89</v>
      </c>
      <c r="C7" s="4" t="n">
        <f aca="false">MEDIAN(C3:C6)</f>
        <v>22</v>
      </c>
      <c r="D7" s="4" t="n">
        <f aca="false">MEDIAN(D3:D6)</f>
        <v>15.1</v>
      </c>
      <c r="E7" s="5" t="n">
        <f aca="false">MEDIAN(E3:E6)</f>
        <v>0.008</v>
      </c>
    </row>
    <row r="8" customFormat="false" ht="15" hidden="false" customHeight="false" outlineLevel="0" collapsed="false">
      <c r="A8" s="0" t="s">
        <v>90</v>
      </c>
      <c r="C8" s="5" t="n">
        <f aca="false">C2/C7-1</f>
        <v>-0.167676767676768</v>
      </c>
      <c r="D8" s="5" t="n">
        <f aca="false">D2/D7-1</f>
        <v>-0.202864272688632</v>
      </c>
    </row>
    <row r="10" customFormat="false" ht="15" hidden="false" customHeight="false" outlineLevel="0" collapsed="false">
      <c r="A10" s="0" t="s">
        <v>91</v>
      </c>
      <c r="C10" s="11" t="n">
        <f aca="false">C7*Annahmen!B8</f>
        <v>123.75</v>
      </c>
    </row>
    <row r="11" customFormat="false" ht="15" hidden="false" customHeight="false" outlineLevel="0" collapsed="false">
      <c r="A11" s="0" t="s">
        <v>92</v>
      </c>
      <c r="C11" s="11" t="n">
        <f aca="false">(D7*Annahmen!B6*Annahmen!B7-Annahmen!B4)/Annahmen!B3</f>
        <v>129.735195071869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2026-10-16T14:37:28Z</dcterms:created>
  <dc:creator>openpyxl</dc:creator>
  <dc:description/>
  <dc:language>en-US</dc:language>
  <cp:lastModifiedBy/>
  <dcterms:modified xsi:type="dcterms:W3CDTF">2026-10-16T14:37:28Z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