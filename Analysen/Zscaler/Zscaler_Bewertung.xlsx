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nahmen" sheetId="1" state="visible" r:id="rId3"/>
    <sheet name="Historie" sheetId="2" state="visible" r:id="rId4"/>
    <sheet name="DCF" sheetId="3" state="visible" r:id="rId5"/>
    <sheet name="Vergleic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<sst xmlns="http://schemas.openxmlformats.org/spreadsheetml/2006/main" count="167" uniqueCount="109">
  <si>
    <t xml:space="preserve">Parameter</t>
  </si>
  <si>
    <t xml:space="preserve">Wert</t>
  </si>
  <si>
    <t xml:space="preserve">Quelle / Hinweis</t>
  </si>
  <si>
    <t xml:space="preserve">Kurs (USD, ca. 14.10.2026)</t>
  </si>
  <si>
    <t xml:space="preserve">Yahoo Finance (Vortagesschluss 220,79) ⚠</t>
  </si>
  <si>
    <t xml:space="preserve">Aktien verwässert (Mio.)</t>
  </si>
  <si>
    <t xml:space="preserve">Annahme der FY27-Guidance (voll verwässert)</t>
  </si>
  <si>
    <t xml:space="preserve">Nettoliquidität (Mio. USD, positiv = mehr Cash als Schulden)</t>
  </si>
  <si>
    <t xml:space="preserve">GESCHÄTZT: Cash ~3,6 Mrd. – Wandelanleihe 1,725 Mrd. (fällig 2028)</t>
  </si>
  <si>
    <t xml:space="preserve">Umsatz FY2026 (Mio. USD, GJ bis 31.07.2026)</t>
  </si>
  <si>
    <t xml:space="preserve">Q4-Pressemitteilung FY2026</t>
  </si>
  <si>
    <t xml:space="preserve">Umsatz FY2027E Guidance (Mio. USD)</t>
  </si>
  <si>
    <t xml:space="preserve">Mitte 3,908–3,938 Mrd.</t>
  </si>
  <si>
    <t xml:space="preserve">Non-GAAP operative Marge FY2027E</t>
  </si>
  <si>
    <t xml:space="preserve">GESCHÄTZT (Q4 FY26: 24,3 %)</t>
  </si>
  <si>
    <t xml:space="preserve">Abschreibungen in % Umsatz (für EBITDA)</t>
  </si>
  <si>
    <t xml:space="preserve">GESCHÄTZT (hohe Investitionen in Rechenzentren)</t>
  </si>
  <si>
    <t xml:space="preserve">Non-GAAP EPS FY2027E (USD)</t>
  </si>
  <si>
    <t xml:space="preserve">Mitte 4,86–4,90</t>
  </si>
  <si>
    <t xml:space="preserve">Bereinigte FCF-Marge FY2027E</t>
  </si>
  <si>
    <t xml:space="preserve">Guidance 23,0–23,5 %</t>
  </si>
  <si>
    <t xml:space="preserve">Aktienvergütung (SBC) in % Umsatz</t>
  </si>
  <si>
    <t xml:space="preserve">GESCHÄTZT (FY25/26 ~21–22 %)</t>
  </si>
  <si>
    <t xml:space="preserve">SBC vom FCF abziehen? (1 = ja, 0 = nein)</t>
  </si>
  <si>
    <t xml:space="preserve">Konservativ: Aktienvergütung ist echter Aufwand</t>
  </si>
  <si>
    <t xml:space="preserve">Dividende je Aktie (USD)</t>
  </si>
  <si>
    <t xml:space="preserve">keine Dividende</t>
  </si>
  <si>
    <t xml:space="preserve">Marktkapitalisierung (Mio.)</t>
  </si>
  <si>
    <t xml:space="preserve">Enterprise Value (Mio.)</t>
  </si>
  <si>
    <t xml:space="preserve">KGV FY2027E (Non-GAAP)</t>
  </si>
  <si>
    <t xml:space="preserve">EV/EBITDA FY2027E (bereinigt)</t>
  </si>
  <si>
    <t xml:space="preserve">EV/Umsatz FY2027E</t>
  </si>
  <si>
    <t xml:space="preserve">FCF-Rendite (bereinigt)</t>
  </si>
  <si>
    <t xml:space="preserve">FCF-Rendite nach SBC</t>
  </si>
  <si>
    <t xml:space="preserve">Dividendenrendite</t>
  </si>
  <si>
    <t xml:space="preserve">Mio. USD (GJ endet 31. Juli)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</si>
  <si>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</si>
  <si>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</si>
  <si>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</si>
  <si>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</si>
  <si>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</si>
  <si>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Umsatz</t>
  </si>
  <si>
    <t xml:space="preserve">Nettogewinn GAAP</t>
  </si>
  <si>
    <t xml:space="preserve">EPS Non-GAAP (USD)</t>
  </si>
  <si>
    <t xml:space="preserve">Free Cashflow</t>
  </si>
  <si>
    <t xml:space="preserve">Nettomarge GAAP</t>
  </si>
  <si>
    <t xml:space="preserve">FCF-Marge</t>
  </si>
  <si>
    <t xml:space="preserve">Umsatzwachstum</t>
  </si>
  <si>
    <t xml:space="preserve">Hinweise: FY2026 = Aug. 2025 bis Juli 2026, inkl. Red Canary (gekauft 01.08.2025 für 675 Mio. USD). GAAP-Nettogewinn FY2025/FY2026 GESCHÄTZT. Non-GAAP-EPS FY2022–FY2024 und FCF FY2022–FY2024 aus Gedächtnis rekonstruiert (±5 %).</t>
  </si>
  <si>
    <t xml:space="preserve">Szenario: Pessimistisch</t>
  </si>
  <si>
    <t xml:space="preserve">WACC</t>
  </si>
  <si>
    <t xml:space="preserve">Ewiges Wachstum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</si>
  <si>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</si>
  <si>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</si>
  <si>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</si>
  <si>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</si>
  <si>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</si>
  <si>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</si>
  <si>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</si>
  <si>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</si>
  <si>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FY2036E</t>
  </si>
  <si>
    <t xml:space="preserve">FY2037E</t>
  </si>
  <si>
    <t xml:space="preserve">FCF-Marge nach SBC</t>
  </si>
  <si>
    <t xml:space="preserve">Free Cashflow (nach SBC)</t>
  </si>
  <si>
    <t xml:space="preserve">Abzinsungsfaktor</t>
  </si>
  <si>
    <t xml:space="preserve">Barwert FCF</t>
  </si>
  <si>
    <t xml:space="preserve">Summe Barwerte FCF</t>
  </si>
  <si>
    <t xml:space="preserve">Endwert (Terminal Value)</t>
  </si>
  <si>
    <t xml:space="preserve">Barwert Endwert</t>
  </si>
  <si>
    <t xml:space="preserve">Enterprise Value</t>
  </si>
  <si>
    <t xml:space="preserve">+ Nettoliquidität</t>
  </si>
  <si>
    <t xml:space="preserve">Eigenkapitalwert</t>
  </si>
  <si>
    <t xml:space="preserve">Fairer Wert je Aktie (USD)</t>
  </si>
  <si>
    <t xml:space="preserve">Abstand zum Kurs</t>
  </si>
  <si>
    <t xml:space="preserve">Anteil Endwert am EV</t>
  </si>
  <si>
    <t xml:space="preserve">Szenario: Realistisch</t>
  </si>
  <si>
    <t xml:space="preserve">Szenario: Optimistisch</t>
  </si>
  <si>
    <t xml:space="preserve">Zusammenfassung</t>
  </si>
  <si>
    <t xml:space="preserve">Pessimistisch</t>
  </si>
  <si>
    <t xml:space="preserve">Realistisch</t>
  </si>
  <si>
    <t xml:space="preserve">Optimistisch</t>
  </si>
  <si>
    <t xml:space="preserve">Gewichtet (25/50/25)</t>
  </si>
  <si>
    <t xml:space="preserve">Bewertungsstichtag Mitte Okt. 2026; Basis = Umsatz-Guidance FY2027 (GJ bis 31.07.2027), Prognose FY2028–FY2037. FCF nach Abzug der Aktienvergütung (SBC); Schalter in Annahmen!B12. FCF-Marge ohne SBC-Abzug = Marge + 20 %-Punkte.</t>
  </si>
  <si>
    <t xml:space="preserve">Sensitivität Realistisch: Fairer Wert je Aktie (Zeilen WACC, Spalten ewiges Wachstum)</t>
  </si>
  <si>
    <t xml:space="preserve">Unternehmen</t>
  </si>
  <si>
    <t xml:space="preserve">Ticker</t>
  </si>
  <si>
    <t xml:space="preserve">KGV fwd</t>
  </si>
  <si>
    <t xml:space="preserve">EV/EBITDA fwd</t>
  </si>
  <si>
    <t xml:space="preserve">Umsatzwachstum (ca.)</t>
  </si>
  <si>
    <t xml:space="preserve">Hinweis</t>
  </si>
  <si>
    <t xml:space="preserve">Zscaler</t>
  </si>
  <si>
    <t xml:space="preserve">ZS</t>
  </si>
  <si>
    <t xml:space="preserve">berechnet, Kurs 223,72 USD</t>
  </si>
  <si>
    <t xml:space="preserve">CrowdStrike</t>
  </si>
  <si>
    <t xml:space="preserve">CRWD</t>
  </si>
  <si>
    <t xml:space="preserve">eigene Analyse 16.10.2026</t>
  </si>
  <si>
    <t xml:space="preserve">Palo Alto Networks</t>
  </si>
  <si>
    <t xml:space="preserve">PANW</t>
  </si>
  <si>
    <t xml:space="preserve">eigene Analyse 16.10.2026 (inkl. Zukäufe)</t>
  </si>
  <si>
    <t xml:space="preserve">Fortinet</t>
  </si>
  <si>
    <t xml:space="preserve">FTNT</t>
  </si>
  <si>
    <t xml:space="preserve">GESCHÄTZT (Koala Gains, ~Aug. 2026)</t>
  </si>
  <si>
    <t xml:space="preserve">Check Point</t>
  </si>
  <si>
    <t xml:space="preserve">CHKP</t>
  </si>
  <si>
    <t xml:space="preserve">GESCHÄTZT (Koala Gains, Windsor Drake)</t>
  </si>
  <si>
    <t xml:space="preserve">Median Konkurrenten</t>
  </si>
  <si>
    <t xml:space="preserve">ZS Auf-/Abschlag ggü. Median</t>
  </si>
  <si>
    <t xml:space="preserve">PEG (KGV / Gewinnwachstum ~16 %)</t>
  </si>
  <si>
    <t xml:space="preserve">Implizierter Kurs bei Peer-Median-KGV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</si>
</sst>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\x"/>
    <numFmt numFmtId="167" formatCode="0.0%"/>
    <numFmt numFmtId="168" formatCode="0.000"/>
    <numFmt numFmtId="169" formatCode="0.00"/>
    <numFmt numFmtId="170" formatCode="0"/>
    <numFmt numFmtId="171" formatCode="0%"/>
    <numFmt numFmtId="172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v>223.72</v>
      </c>
      <c r="C2" s="3" t="s">
        <v>4</v>
      </c>
    </row>
    <row r="3" customFormat="false" ht="15" hidden="false" customHeight="false" outlineLevel="0" collapsed="false">
      <c r="A3" s="0" t="s">
        <v>5</v>
      </c>
      <c r="B3" s="2" t="n">
        <v>173</v>
      </c>
      <c r="C3" s="3" t="s">
        <v>6</v>
      </c>
    </row>
    <row r="4" customFormat="false" ht="15" hidden="false" customHeight="false" outlineLevel="0" collapsed="false">
      <c r="A4" s="0" t="s">
        <v>7</v>
      </c>
      <c r="B4" s="2" t="n">
        <v>1900</v>
      </c>
      <c r="C4" s="3" t="s">
        <v>8</v>
      </c>
    </row>
    <row r="5" customFormat="false" ht="15" hidden="false" customHeight="false" outlineLevel="0" collapsed="false">
      <c r="A5" s="0" t="s">
        <v>9</v>
      </c>
      <c r="B5" s="2" t="n">
        <v>3353</v>
      </c>
      <c r="C5" s="3" t="s">
        <v>10</v>
      </c>
    </row>
    <row r="6" customFormat="false" ht="15" hidden="false" customHeight="false" outlineLevel="0" collapsed="false">
      <c r="A6" s="0" t="s">
        <v>11</v>
      </c>
      <c r="B6" s="2" t="n">
        <v>3923</v>
      </c>
      <c r="C6" s="3" t="s">
        <v>12</v>
      </c>
    </row>
    <row r="7" customFormat="false" ht="15" hidden="false" customHeight="false" outlineLevel="0" collapsed="false">
      <c r="A7" s="0" t="s">
        <v>13</v>
      </c>
      <c r="B7" s="2" t="n">
        <v>0.23</v>
      </c>
      <c r="C7" s="3" t="s">
        <v>14</v>
      </c>
    </row>
    <row r="8" customFormat="false" ht="15" hidden="false" customHeight="false" outlineLevel="0" collapsed="false">
      <c r="A8" s="0" t="s">
        <v>15</v>
      </c>
      <c r="B8" s="2" t="n">
        <v>0.07</v>
      </c>
      <c r="C8" s="3" t="s">
        <v>16</v>
      </c>
    </row>
    <row r="9" customFormat="false" ht="15" hidden="false" customHeight="false" outlineLevel="0" collapsed="false">
      <c r="A9" s="0" t="s">
        <v>17</v>
      </c>
      <c r="B9" s="2" t="n">
        <v>4.88</v>
      </c>
      <c r="C9" s="3" t="s">
        <v>18</v>
      </c>
    </row>
    <row r="10" customFormat="false" ht="15" hidden="false" customHeight="false" outlineLevel="0" collapsed="false">
      <c r="A10" s="0" t="s">
        <v>19</v>
      </c>
      <c r="B10" s="2" t="n">
        <v>0.2325</v>
      </c>
      <c r="C10" s="3" t="s">
        <v>20</v>
      </c>
    </row>
    <row r="11" customFormat="false" ht="15" hidden="false" customHeight="false" outlineLevel="0" collapsed="false">
      <c r="A11" s="0" t="s">
        <v>21</v>
      </c>
      <c r="B11" s="2" t="n">
        <v>0.2</v>
      </c>
      <c r="C11" s="3" t="s">
        <v>22</v>
      </c>
    </row>
    <row r="12" customFormat="false" ht="15" hidden="false" customHeight="false" outlineLevel="0" collapsed="false">
      <c r="A12" s="0" t="s">
        <v>23</v>
      </c>
      <c r="B12" s="2" t="n">
        <v>1</v>
      </c>
      <c r="C12" s="3" t="s">
        <v>24</v>
      </c>
    </row>
    <row r="13" customFormat="false" ht="15" hidden="false" customHeight="false" outlineLevel="0" collapsed="false">
      <c r="A13" s="0" t="s">
        <v>25</v>
      </c>
      <c r="B13" s="2" t="n">
        <v>0</v>
      </c>
      <c r="C13" s="3" t="s">
        <v>26</v>
      </c>
    </row>
    <row r="15" customFormat="false" ht="15" hidden="false" customHeight="false" outlineLevel="0" collapsed="false">
      <c r="A15" s="0" t="s">
        <v>27</v>
      </c>
      <c r="B15" s="4" t="n">
        <f aca="false">B2*B3</f>
        <v>38703.56</v>
      </c>
    </row>
    <row r="16" customFormat="false" ht="15" hidden="false" customHeight="false" outlineLevel="0" collapsed="false">
      <c r="A16" s="0" t="s">
        <v>28</v>
      </c>
      <c r="B16" s="4" t="n">
        <f aca="false">B15-B4</f>
        <v>36803.56</v>
      </c>
    </row>
    <row r="17" customFormat="false" ht="15" hidden="false" customHeight="false" outlineLevel="0" collapsed="false">
      <c r="A17" s="0" t="s">
        <v>29</v>
      </c>
      <c r="B17" s="5" t="n">
        <f aca="false">B2/B9</f>
        <v>45.844262295082</v>
      </c>
    </row>
    <row r="18" customFormat="false" ht="15" hidden="false" customHeight="false" outlineLevel="0" collapsed="false">
      <c r="A18" s="0" t="s">
        <v>30</v>
      </c>
      <c r="B18" s="5" t="n">
        <f aca="false">B16/(B6*(B7+B8))</f>
        <v>31.2716118616705</v>
      </c>
    </row>
    <row r="19" customFormat="false" ht="15" hidden="false" customHeight="false" outlineLevel="0" collapsed="false">
      <c r="A19" s="0" t="s">
        <v>31</v>
      </c>
      <c r="B19" s="5" t="n">
        <f aca="false">B16/B6</f>
        <v>9.38148355850115</v>
      </c>
    </row>
    <row r="20" customFormat="false" ht="15" hidden="false" customHeight="false" outlineLevel="0" collapsed="false">
      <c r="A20" s="0" t="s">
        <v>32</v>
      </c>
      <c r="B20" s="6" t="n">
        <f aca="false">B6*B10/B15</f>
        <v>0.0235662430019357</v>
      </c>
    </row>
    <row r="21" customFormat="false" ht="15" hidden="false" customHeight="false" outlineLevel="0" collapsed="false">
      <c r="A21" s="0" t="s">
        <v>33</v>
      </c>
      <c r="B21" s="6" t="n">
        <f aca="false">B6*(B10-B11)/B15</f>
        <v>0.00329420601102328</v>
      </c>
    </row>
    <row r="22" customFormat="false" ht="15" hidden="false" customHeight="false" outlineLevel="0" collapsed="false">
      <c r="A22" s="0" t="s">
        <v>34</v>
      </c>
      <c r="B22" s="6" t="n">
        <f aca="false">B13/B2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</cols>
  <sheetData>
    <row r="1" customFormat="false" ht="15" hidden="false" customHeight="fals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customFormat="false" ht="15" hidden="false" customHeight="false" outlineLevel="0" collapsed="false">
      <c r="A2" s="0" t="s">
        <v>41</v>
      </c>
      <c r="B2" s="2" t="n">
        <v>1091</v>
      </c>
      <c r="C2" s="2" t="n">
        <v>1617</v>
      </c>
      <c r="D2" s="2" t="n">
        <v>2168</v>
      </c>
      <c r="E2" s="2" t="n">
        <v>2673</v>
      </c>
      <c r="F2" s="2" t="n">
        <v>3353</v>
      </c>
    </row>
    <row r="3" customFormat="false" ht="15" hidden="false" customHeight="false" outlineLevel="0" collapsed="false">
      <c r="A3" s="0" t="s">
        <v>42</v>
      </c>
      <c r="B3" s="2" t="n">
        <v>-390</v>
      </c>
      <c r="C3" s="2" t="n">
        <v>-202</v>
      </c>
      <c r="D3" s="2" t="n">
        <v>-58</v>
      </c>
      <c r="E3" s="2" t="n">
        <v>-42</v>
      </c>
      <c r="F3" s="2" t="n">
        <v>-30</v>
      </c>
    </row>
    <row r="4" customFormat="false" ht="15" hidden="false" customHeight="false" outlineLevel="0" collapsed="false">
      <c r="A4" s="0" t="s">
        <v>43</v>
      </c>
      <c r="B4" s="2" t="n">
        <v>0.84</v>
      </c>
      <c r="C4" s="2" t="n">
        <v>1.89</v>
      </c>
      <c r="D4" s="2" t="n">
        <v>2.96</v>
      </c>
      <c r="E4" s="2" t="n">
        <v>3.28</v>
      </c>
      <c r="F4" s="2" t="n">
        <v>4.21</v>
      </c>
    </row>
    <row r="5" customFormat="false" ht="15" hidden="false" customHeight="false" outlineLevel="0" collapsed="false">
      <c r="A5" s="0" t="s">
        <v>44</v>
      </c>
      <c r="B5" s="2" t="n">
        <v>313</v>
      </c>
      <c r="C5" s="2" t="n">
        <v>456</v>
      </c>
      <c r="D5" s="2" t="n">
        <v>640</v>
      </c>
      <c r="E5" s="2" t="n">
        <v>727</v>
      </c>
      <c r="F5" s="2" t="n">
        <v>779</v>
      </c>
    </row>
    <row r="6" customFormat="false" ht="15" hidden="false" customHeight="false" outlineLevel="0" collapsed="false">
      <c r="A6" s="0" t="s">
        <v>25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</row>
    <row r="7" customFormat="false" ht="15" hidden="false" customHeight="false" outlineLevel="0" collapsed="false">
      <c r="A7" s="0" t="s">
        <v>45</v>
      </c>
      <c r="B7" s="6" t="n">
        <f aca="false">B3/B2</f>
        <v>-0.357470210815765</v>
      </c>
      <c r="C7" s="6" t="n">
        <f aca="false">C3/C2</f>
        <v>-0.124922696351268</v>
      </c>
      <c r="D7" s="6" t="n">
        <f aca="false">D3/D2</f>
        <v>-0.0267527675276753</v>
      </c>
      <c r="E7" s="6" t="n">
        <f aca="false">E3/E2</f>
        <v>-0.015712682379349</v>
      </c>
      <c r="F7" s="6" t="n">
        <f aca="false">F3/F2</f>
        <v>-0.00894721145243066</v>
      </c>
    </row>
    <row r="8" customFormat="false" ht="15" hidden="false" customHeight="false" outlineLevel="0" collapsed="false">
      <c r="A8" s="0" t="s">
        <v>46</v>
      </c>
      <c r="B8" s="6" t="n">
        <f aca="false">B5/B2</f>
        <v>0.286892758936755</v>
      </c>
      <c r="C8" s="6" t="n">
        <f aca="false">C5/C2</f>
        <v>0.282003710575139</v>
      </c>
      <c r="D8" s="6" t="n">
        <f aca="false">D5/D2</f>
        <v>0.29520295202952</v>
      </c>
      <c r="E8" s="6" t="n">
        <f aca="false">E5/E2</f>
        <v>0.271979049756828</v>
      </c>
      <c r="F8" s="6" t="n">
        <f aca="false">F5/F2</f>
        <v>0.232329257381449</v>
      </c>
    </row>
    <row r="9" customFormat="false" ht="15" hidden="false" customHeight="false" outlineLevel="0" collapsed="false">
      <c r="A9" s="0" t="s">
        <v>47</v>
      </c>
      <c r="C9" s="6" t="n">
        <f aca="false">C2/B2-1</f>
        <v>0.482126489459212</v>
      </c>
      <c r="D9" s="6" t="n">
        <f aca="false">D2/C2-1</f>
        <v>0.340754483611627</v>
      </c>
      <c r="E9" s="6" t="n">
        <f aca="false">E2/D2-1</f>
        <v>0.232933579335793</v>
      </c>
      <c r="F9" s="6" t="n">
        <f aca="false">F2/E2-1</f>
        <v>0.254395809951365</v>
      </c>
    </row>
    <row r="11" customFormat="false" ht="15" hidden="false" customHeight="false" outlineLevel="0" collapsed="false">
      <c r="A11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7" t="s">
        <v>49</v>
      </c>
    </row>
    <row r="2" customFormat="false" ht="15" hidden="false" customHeight="false" outlineLevel="0" collapsed="false">
      <c r="A2" s="0" t="s">
        <v>50</v>
      </c>
      <c r="B2" s="8" t="n">
        <v>0.105</v>
      </c>
    </row>
    <row r="3" customFormat="false" ht="15" hidden="false" customHeight="false" outlineLevel="0" collapsed="false">
      <c r="A3" s="0" t="s">
        <v>51</v>
      </c>
      <c r="B3" s="8" t="n">
        <v>0.03</v>
      </c>
    </row>
    <row r="4" customFormat="false" ht="15" hidden="false" customHeight="false" outlineLevel="0" collapsed="false">
      <c r="A4" s="1"/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</row>
    <row r="5" customFormat="false" ht="15" hidden="false" customHeight="false" outlineLevel="0" collapsed="false">
      <c r="A5" s="0" t="s">
        <v>47</v>
      </c>
      <c r="B5" s="8" t="n">
        <v>0.14</v>
      </c>
      <c r="C5" s="8" t="n">
        <v>0.12</v>
      </c>
      <c r="D5" s="8" t="n">
        <v>0.1</v>
      </c>
      <c r="E5" s="8" t="n">
        <v>0.09</v>
      </c>
      <c r="F5" s="8" t="n">
        <v>0.08</v>
      </c>
      <c r="G5" s="8" t="n">
        <v>0.07</v>
      </c>
      <c r="H5" s="8" t="n">
        <v>0.06</v>
      </c>
      <c r="I5" s="8" t="n">
        <v>0.05</v>
      </c>
      <c r="J5" s="8" t="n">
        <v>0.05</v>
      </c>
      <c r="K5" s="8" t="n">
        <v>0.04</v>
      </c>
    </row>
    <row r="6" customFormat="false" ht="15" hidden="false" customHeight="false" outlineLevel="0" collapsed="false">
      <c r="A6" s="0" t="s">
        <v>41</v>
      </c>
      <c r="B6" s="4" t="n">
        <f aca="false">Annahmen!B6*(1+B5)</f>
        <v>4472.22</v>
      </c>
      <c r="C6" s="4" t="n">
        <f aca="false">B6*(1+C5)</f>
        <v>5008.8864</v>
      </c>
      <c r="D6" s="4" t="n">
        <f aca="false">C6*(1+D5)</f>
        <v>5509.77504</v>
      </c>
      <c r="E6" s="4" t="n">
        <f aca="false">D6*(1+E5)</f>
        <v>6005.6547936</v>
      </c>
      <c r="F6" s="4" t="n">
        <f aca="false">E6*(1+F5)</f>
        <v>6486.107177088</v>
      </c>
      <c r="G6" s="4" t="n">
        <f aca="false">F6*(1+G5)</f>
        <v>6940.13467948416</v>
      </c>
      <c r="H6" s="4" t="n">
        <f aca="false">G6*(1+H5)</f>
        <v>7356.54276025321</v>
      </c>
      <c r="I6" s="4" t="n">
        <f aca="false">H6*(1+I5)</f>
        <v>7724.36989826587</v>
      </c>
      <c r="J6" s="4" t="n">
        <f aca="false">I6*(1+J5)</f>
        <v>8110.58839317917</v>
      </c>
      <c r="K6" s="4" t="n">
        <f aca="false">J6*(1+K5)</f>
        <v>8435.01192890633</v>
      </c>
    </row>
    <row r="7" customFormat="false" ht="15" hidden="false" customHeight="false" outlineLevel="0" collapsed="false">
      <c r="A7" s="0" t="s">
        <v>62</v>
      </c>
      <c r="B7" s="8" t="n">
        <f aca="false">0.04+(1-Annahmen!$B$12)*Annahmen!$B$11</f>
        <v>0.04</v>
      </c>
      <c r="C7" s="8" t="n">
        <f aca="false">0.055+(1-Annahmen!$B$12)*Annahmen!$B$11</f>
        <v>0.055</v>
      </c>
      <c r="D7" s="8" t="n">
        <f aca="false">0.07+(1-Annahmen!$B$12)*Annahmen!$B$11</f>
        <v>0.07</v>
      </c>
      <c r="E7" s="8" t="n">
        <f aca="false">0.085+(1-Annahmen!$B$12)*Annahmen!$B$11</f>
        <v>0.085</v>
      </c>
      <c r="F7" s="8" t="n">
        <f aca="false">0.1+(1-Annahmen!$B$12)*Annahmen!$B$11</f>
        <v>0.1</v>
      </c>
      <c r="G7" s="8" t="n">
        <f aca="false">0.115+(1-Annahmen!$B$12)*Annahmen!$B$11</f>
        <v>0.115</v>
      </c>
      <c r="H7" s="8" t="n">
        <f aca="false">0.13+(1-Annahmen!$B$12)*Annahmen!$B$11</f>
        <v>0.13</v>
      </c>
      <c r="I7" s="8" t="n">
        <f aca="false">0.15+(1-Annahmen!$B$12)*Annahmen!$B$11</f>
        <v>0.15</v>
      </c>
      <c r="J7" s="8" t="n">
        <f aca="false">0.165+(1-Annahmen!$B$12)*Annahmen!$B$11</f>
        <v>0.165</v>
      </c>
      <c r="K7" s="8" t="n">
        <f aca="false">0.18+(1-Annahmen!$B$12)*Annahmen!$B$11</f>
        <v>0.18</v>
      </c>
    </row>
    <row r="8" customFormat="false" ht="15" hidden="false" customHeight="false" outlineLevel="0" collapsed="false">
      <c r="A8" s="0" t="s">
        <v>63</v>
      </c>
      <c r="B8" s="4" t="n">
        <f aca="false">B6*B7</f>
        <v>178.8888</v>
      </c>
      <c r="C8" s="4" t="n">
        <f aca="false">C6*C7</f>
        <v>275.488752</v>
      </c>
      <c r="D8" s="4" t="n">
        <f aca="false">D6*D7</f>
        <v>385.6842528</v>
      </c>
      <c r="E8" s="4" t="n">
        <f aca="false">E6*E7</f>
        <v>510.480657456</v>
      </c>
      <c r="F8" s="4" t="n">
        <f aca="false">F6*F7</f>
        <v>648.6107177088</v>
      </c>
      <c r="G8" s="4" t="n">
        <f aca="false">G6*G7</f>
        <v>798.115488140679</v>
      </c>
      <c r="H8" s="4" t="n">
        <f aca="false">H6*H7</f>
        <v>956.350558832918</v>
      </c>
      <c r="I8" s="4" t="n">
        <f aca="false">I6*I7</f>
        <v>1158.65548473988</v>
      </c>
      <c r="J8" s="4" t="n">
        <f aca="false">J6*J7</f>
        <v>1338.24708487456</v>
      </c>
      <c r="K8" s="4" t="n">
        <f aca="false">K6*K7</f>
        <v>1518.30214720314</v>
      </c>
    </row>
    <row r="9" customFormat="false" ht="15" hidden="false" customHeight="false" outlineLevel="0" collapsed="false">
      <c r="A9" s="0" t="s">
        <v>64</v>
      </c>
      <c r="B9" s="9" t="n">
        <f aca="false">1/(1+$B$2)^(0+0.8)</f>
        <v>0.92323057250734</v>
      </c>
      <c r="C9" s="9" t="n">
        <f aca="false">1/(1+$B$2)^(1+0.8)</f>
        <v>0.835502780549629</v>
      </c>
      <c r="D9" s="9" t="n">
        <f aca="false">1/(1+$B$2)^(2+0.8)</f>
        <v>0.756111113619574</v>
      </c>
      <c r="E9" s="9" t="n">
        <f aca="false">1/(1+$B$2)^(3+0.8)</f>
        <v>0.684263451239433</v>
      </c>
      <c r="F9" s="9" t="n">
        <f aca="false">1/(1+$B$2)^(4+0.8)</f>
        <v>0.61924294229813</v>
      </c>
      <c r="G9" s="9" t="n">
        <f aca="false">1/(1+$B$2)^(5+0.8)</f>
        <v>0.560400852758489</v>
      </c>
      <c r="H9" s="9" t="n">
        <f aca="false">1/(1+$B$2)^(6+0.8)</f>
        <v>0.507150092994107</v>
      </c>
      <c r="I9" s="9" t="n">
        <f aca="false">1/(1+$B$2)^(7+0.8)</f>
        <v>0.458959360175663</v>
      </c>
      <c r="J9" s="9" t="n">
        <f aca="false">1/(1+$B$2)^(8+0.8)</f>
        <v>0.415347837263043</v>
      </c>
      <c r="K9" s="9" t="n">
        <f aca="false">1/(1+$B$2)^(9+0.8)</f>
        <v>0.375880395713161</v>
      </c>
    </row>
    <row r="10" customFormat="false" ht="15" hidden="false" customHeight="false" outlineLevel="0" collapsed="false">
      <c r="A10" s="0" t="s">
        <v>65</v>
      </c>
      <c r="B10" s="4" t="n">
        <f aca="false">B8*B9</f>
        <v>165.155609239151</v>
      </c>
      <c r="C10" s="4" t="n">
        <f aca="false">C8*C9</f>
        <v>230.171618306147</v>
      </c>
      <c r="D10" s="4" t="n">
        <f aca="false">D8*D9</f>
        <v>291.620149890141</v>
      </c>
      <c r="E10" s="4" t="n">
        <f aca="false">E8*E9</f>
        <v>349.303256461818</v>
      </c>
      <c r="F10" s="4" t="n">
        <f aca="false">F8*F9</f>
        <v>401.647609240099</v>
      </c>
      <c r="G10" s="4" t="n">
        <f aca="false">G8*G9</f>
        <v>447.264600153794</v>
      </c>
      <c r="H10" s="4" t="n">
        <f aca="false">H8*H9</f>
        <v>485.013274847081</v>
      </c>
      <c r="I10" s="4" t="n">
        <f aca="false">I8*I9</f>
        <v>531.775779940238</v>
      </c>
      <c r="J10" s="4" t="n">
        <f aca="false">J8*J9</f>
        <v>555.838032426222</v>
      </c>
      <c r="K10" s="4" t="n">
        <f aca="false">K8*K9</f>
        <v>570.700011902859</v>
      </c>
    </row>
    <row r="11" customFormat="false" ht="15" hidden="false" customHeight="false" outlineLevel="0" collapsed="false">
      <c r="A11" s="0" t="s">
        <v>66</v>
      </c>
      <c r="B11" s="4" t="n">
        <f aca="false">SUM(B10:K10)</f>
        <v>4028.48994240755</v>
      </c>
    </row>
    <row r="12" customFormat="false" ht="15" hidden="false" customHeight="false" outlineLevel="0" collapsed="false">
      <c r="A12" s="0" t="s">
        <v>67</v>
      </c>
      <c r="B12" s="4" t="n">
        <f aca="false">K8*(1+B3)/(B2-B3)</f>
        <v>20851.3494882565</v>
      </c>
    </row>
    <row r="13" customFormat="false" ht="15" hidden="false" customHeight="false" outlineLevel="0" collapsed="false">
      <c r="A13" s="0" t="s">
        <v>68</v>
      </c>
      <c r="B13" s="4" t="n">
        <f aca="false">B12*K9</f>
        <v>7837.61349679926</v>
      </c>
    </row>
    <row r="14" customFormat="false" ht="15" hidden="false" customHeight="false" outlineLevel="0" collapsed="false">
      <c r="A14" s="0" t="s">
        <v>69</v>
      </c>
      <c r="B14" s="4" t="n">
        <f aca="false">B11+B13</f>
        <v>11866.1034392068</v>
      </c>
    </row>
    <row r="15" customFormat="false" ht="15" hidden="false" customHeight="false" outlineLevel="0" collapsed="false">
      <c r="A15" s="0" t="s">
        <v>70</v>
      </c>
      <c r="B15" s="4" t="n">
        <f aca="false">Annahmen!B4</f>
        <v>1900</v>
      </c>
    </row>
    <row r="16" customFormat="false" ht="15" hidden="false" customHeight="false" outlineLevel="0" collapsed="false">
      <c r="A16" s="0" t="s">
        <v>71</v>
      </c>
      <c r="B16" s="4" t="n">
        <f aca="false">B14+B15</f>
        <v>13766.1034392068</v>
      </c>
    </row>
    <row r="17" customFormat="false" ht="15" hidden="false" customHeight="false" outlineLevel="0" collapsed="false">
      <c r="A17" s="10" t="s">
        <v>72</v>
      </c>
      <c r="B17" s="11" t="n">
        <f aca="false">B16/Annahmen!B3</f>
        <v>79.5728522497503</v>
      </c>
    </row>
    <row r="18" customFormat="false" ht="15" hidden="false" customHeight="false" outlineLevel="0" collapsed="false">
      <c r="A18" s="0" t="s">
        <v>73</v>
      </c>
      <c r="B18" s="6" t="n">
        <f aca="false">B17/Annahmen!B2-1</f>
        <v>-0.644319451771186</v>
      </c>
    </row>
    <row r="19" customFormat="false" ht="15" hidden="false" customHeight="false" outlineLevel="0" collapsed="false">
      <c r="A19" s="0" t="s">
        <v>74</v>
      </c>
      <c r="B19" s="6" t="n">
        <f aca="false">B13/B14</f>
        <v>0.660504396995478</v>
      </c>
    </row>
    <row r="22" customFormat="false" ht="15" hidden="false" customHeight="false" outlineLevel="0" collapsed="false">
      <c r="A22" s="7" t="s">
        <v>75</v>
      </c>
    </row>
    <row r="23" customFormat="false" ht="15" hidden="false" customHeight="false" outlineLevel="0" collapsed="false">
      <c r="A23" s="0" t="s">
        <v>50</v>
      </c>
      <c r="B23" s="8" t="n">
        <v>0.095</v>
      </c>
    </row>
    <row r="24" customFormat="false" ht="15" hidden="false" customHeight="false" outlineLevel="0" collapsed="false">
      <c r="A24" s="0" t="s">
        <v>51</v>
      </c>
      <c r="B24" s="8" t="n">
        <v>0.035</v>
      </c>
    </row>
    <row r="25" customFormat="false" ht="15" hidden="false" customHeight="false" outlineLevel="0" collapsed="false">
      <c r="A25" s="1"/>
      <c r="B25" s="1" t="s">
        <v>52</v>
      </c>
      <c r="C25" s="1" t="s">
        <v>53</v>
      </c>
      <c r="D25" s="1" t="s">
        <v>54</v>
      </c>
      <c r="E25" s="1" t="s">
        <v>55</v>
      </c>
      <c r="F25" s="1" t="s">
        <v>56</v>
      </c>
      <c r="G25" s="1" t="s">
        <v>57</v>
      </c>
      <c r="H25" s="1" t="s">
        <v>58</v>
      </c>
      <c r="I25" s="1" t="s">
        <v>59</v>
      </c>
      <c r="J25" s="1" t="s">
        <v>60</v>
      </c>
      <c r="K25" s="1" t="s">
        <v>61</v>
      </c>
    </row>
    <row r="26" customFormat="false" ht="15" hidden="false" customHeight="false" outlineLevel="0" collapsed="false">
      <c r="A26" s="0" t="s">
        <v>47</v>
      </c>
      <c r="B26" s="8" t="n">
        <v>0.17</v>
      </c>
      <c r="C26" s="8" t="n">
        <v>0.16</v>
      </c>
      <c r="D26" s="8" t="n">
        <v>0.15</v>
      </c>
      <c r="E26" s="8" t="n">
        <v>0.14</v>
      </c>
      <c r="F26" s="8" t="n">
        <v>0.12</v>
      </c>
      <c r="G26" s="8" t="n">
        <v>0.11</v>
      </c>
      <c r="H26" s="8" t="n">
        <v>0.1</v>
      </c>
      <c r="I26" s="8" t="n">
        <v>0.09</v>
      </c>
      <c r="J26" s="8" t="n">
        <v>0.08</v>
      </c>
      <c r="K26" s="8" t="n">
        <v>0.07</v>
      </c>
    </row>
    <row r="27" customFormat="false" ht="15" hidden="false" customHeight="false" outlineLevel="0" collapsed="false">
      <c r="A27" s="0" t="s">
        <v>41</v>
      </c>
      <c r="B27" s="4" t="n">
        <f aca="false">Annahmen!B6*(1+B26)</f>
        <v>4589.91</v>
      </c>
      <c r="C27" s="4" t="n">
        <f aca="false">B27*(1+C26)</f>
        <v>5324.2956</v>
      </c>
      <c r="D27" s="4" t="n">
        <f aca="false">C27*(1+D26)</f>
        <v>6122.93994</v>
      </c>
      <c r="E27" s="4" t="n">
        <f aca="false">D27*(1+E26)</f>
        <v>6980.1515316</v>
      </c>
      <c r="F27" s="4" t="n">
        <f aca="false">E27*(1+F26)</f>
        <v>7817.769715392</v>
      </c>
      <c r="G27" s="4" t="n">
        <f aca="false">F27*(1+G26)</f>
        <v>8677.72438408512</v>
      </c>
      <c r="H27" s="4" t="n">
        <f aca="false">G27*(1+H26)</f>
        <v>9545.49682249363</v>
      </c>
      <c r="I27" s="4" t="n">
        <f aca="false">H27*(1+I26)</f>
        <v>10404.5915365181</v>
      </c>
      <c r="J27" s="4" t="n">
        <f aca="false">I27*(1+J26)</f>
        <v>11236.9588594395</v>
      </c>
      <c r="K27" s="4" t="n">
        <f aca="false">J27*(1+K26)</f>
        <v>12023.5459796003</v>
      </c>
    </row>
    <row r="28" customFormat="false" ht="15" hidden="false" customHeight="false" outlineLevel="0" collapsed="false">
      <c r="A28" s="0" t="s">
        <v>62</v>
      </c>
      <c r="B28" s="8" t="n">
        <f aca="false">0.05+(1-Annahmen!$B$12)*Annahmen!$B$11</f>
        <v>0.05</v>
      </c>
      <c r="C28" s="8" t="n">
        <f aca="false">0.07+(1-Annahmen!$B$12)*Annahmen!$B$11</f>
        <v>0.07</v>
      </c>
      <c r="D28" s="8" t="n">
        <f aca="false">0.09+(1-Annahmen!$B$12)*Annahmen!$B$11</f>
        <v>0.09</v>
      </c>
      <c r="E28" s="8" t="n">
        <f aca="false">0.11+(1-Annahmen!$B$12)*Annahmen!$B$11</f>
        <v>0.11</v>
      </c>
      <c r="F28" s="8" t="n">
        <f aca="false">0.13+(1-Annahmen!$B$12)*Annahmen!$B$11</f>
        <v>0.13</v>
      </c>
      <c r="G28" s="8" t="n">
        <f aca="false">0.15+(1-Annahmen!$B$12)*Annahmen!$B$11</f>
        <v>0.15</v>
      </c>
      <c r="H28" s="8" t="n">
        <f aca="false">0.18+(1-Annahmen!$B$12)*Annahmen!$B$11</f>
        <v>0.18</v>
      </c>
      <c r="I28" s="8" t="n">
        <f aca="false">0.21+(1-Annahmen!$B$12)*Annahmen!$B$11</f>
        <v>0.21</v>
      </c>
      <c r="J28" s="8" t="n">
        <f aca="false">0.23+(1-Annahmen!$B$12)*Annahmen!$B$11</f>
        <v>0.23</v>
      </c>
      <c r="K28" s="8" t="n">
        <f aca="false">0.25+(1-Annahmen!$B$12)*Annahmen!$B$11</f>
        <v>0.25</v>
      </c>
    </row>
    <row r="29" customFormat="false" ht="15" hidden="false" customHeight="false" outlineLevel="0" collapsed="false">
      <c r="A29" s="0" t="s">
        <v>63</v>
      </c>
      <c r="B29" s="4" t="n">
        <f aca="false">B27*B28</f>
        <v>229.4955</v>
      </c>
      <c r="C29" s="4" t="n">
        <f aca="false">C27*C28</f>
        <v>372.700692</v>
      </c>
      <c r="D29" s="4" t="n">
        <f aca="false">D27*D28</f>
        <v>551.0645946</v>
      </c>
      <c r="E29" s="4" t="n">
        <f aca="false">E27*E28</f>
        <v>767.816668476</v>
      </c>
      <c r="F29" s="4" t="n">
        <f aca="false">F27*F28</f>
        <v>1016.31006300096</v>
      </c>
      <c r="G29" s="4" t="n">
        <f aca="false">G27*G28</f>
        <v>1301.65865761277</v>
      </c>
      <c r="H29" s="4" t="n">
        <f aca="false">H27*H28</f>
        <v>1718.18942804885</v>
      </c>
      <c r="I29" s="4" t="n">
        <f aca="false">I27*I28</f>
        <v>2184.96422266879</v>
      </c>
      <c r="J29" s="4" t="n">
        <f aca="false">J27*J28</f>
        <v>2584.50053767109</v>
      </c>
      <c r="K29" s="4" t="n">
        <f aca="false">K27*K28</f>
        <v>3005.88649490007</v>
      </c>
    </row>
    <row r="30" customFormat="false" ht="15" hidden="false" customHeight="false" outlineLevel="0" collapsed="false">
      <c r="A30" s="0" t="s">
        <v>64</v>
      </c>
      <c r="B30" s="9" t="n">
        <f aca="false">1/(1+$B$23)^(0+0.8)</f>
        <v>0.929969498564852</v>
      </c>
      <c r="C30" s="9" t="n">
        <f aca="false">1/(1+$B$23)^(1+0.8)</f>
        <v>0.849287213301235</v>
      </c>
      <c r="D30" s="9" t="n">
        <f aca="false">1/(1+$B$23)^(2+0.8)</f>
        <v>0.775604761005694</v>
      </c>
      <c r="E30" s="9" t="n">
        <f aca="false">1/(1+$B$23)^(3+0.8)</f>
        <v>0.70831485023351</v>
      </c>
      <c r="F30" s="9" t="n">
        <f aca="false">1/(1+$B$23)^(4+0.8)</f>
        <v>0.64686287692558</v>
      </c>
      <c r="G30" s="9" t="n">
        <f aca="false">1/(1+$B$23)^(5+0.8)</f>
        <v>0.590742353356694</v>
      </c>
      <c r="H30" s="9" t="n">
        <f aca="false">1/(1+$B$23)^(6+0.8)</f>
        <v>0.539490733659082</v>
      </c>
      <c r="I30" s="9" t="n">
        <f aca="false">1/(1+$B$23)^(7+0.8)</f>
        <v>0.492685601515143</v>
      </c>
      <c r="J30" s="9" t="n">
        <f aca="false">1/(1+$B$23)^(8+0.8)</f>
        <v>0.449941188598304</v>
      </c>
      <c r="K30" s="9" t="n">
        <f aca="false">1/(1+$B$23)^(9+0.8)</f>
        <v>0.410905195066944</v>
      </c>
    </row>
    <row r="31" customFormat="false" ht="15" hidden="false" customHeight="false" outlineLevel="0" collapsed="false">
      <c r="A31" s="0" t="s">
        <v>65</v>
      </c>
      <c r="B31" s="4" t="n">
        <f aca="false">B29*B30</f>
        <v>213.42381505789</v>
      </c>
      <c r="C31" s="4" t="n">
        <f aca="false">C29*C30</f>
        <v>316.529932104122</v>
      </c>
      <c r="D31" s="4" t="n">
        <f aca="false">D29*D30</f>
        <v>427.408323193433</v>
      </c>
      <c r="E31" s="4" t="n">
        <f aca="false">E29*E30</f>
        <v>543.855948538371</v>
      </c>
      <c r="F31" s="4" t="n">
        <f aca="false">F29*F30</f>
        <v>657.413251201219</v>
      </c>
      <c r="G31" s="4" t="n">
        <f aca="false">G29*G30</f>
        <v>768.944898665282</v>
      </c>
      <c r="H31" s="4" t="n">
        <f aca="false">H29*H30</f>
        <v>926.947275103354</v>
      </c>
      <c r="I31" s="4" t="n">
        <f aca="false">I29*I30</f>
        <v>1076.50041233464</v>
      </c>
      <c r="J31" s="4" t="n">
        <f aca="false">J29*J30</f>
        <v>1162.87324385268</v>
      </c>
      <c r="K31" s="4" t="n">
        <f aca="false">K29*K30</f>
        <v>1235.13437653601</v>
      </c>
    </row>
    <row r="32" customFormat="false" ht="15" hidden="false" customHeight="false" outlineLevel="0" collapsed="false">
      <c r="A32" s="0" t="s">
        <v>66</v>
      </c>
      <c r="B32" s="4" t="n">
        <f aca="false">SUM(B31:K31)</f>
        <v>7329.031476587</v>
      </c>
    </row>
    <row r="33" customFormat="false" ht="15" hidden="false" customHeight="false" outlineLevel="0" collapsed="false">
      <c r="A33" s="0" t="s">
        <v>67</v>
      </c>
      <c r="B33" s="4" t="n">
        <f aca="false">K29*(1+B24)/(B23-B24)</f>
        <v>51851.5420370262</v>
      </c>
    </row>
    <row r="34" customFormat="false" ht="15" hidden="false" customHeight="false" outlineLevel="0" collapsed="false">
      <c r="A34" s="0" t="s">
        <v>68</v>
      </c>
      <c r="B34" s="4" t="n">
        <f aca="false">B33*K30</f>
        <v>21306.0679952461</v>
      </c>
    </row>
    <row r="35" customFormat="false" ht="15" hidden="false" customHeight="false" outlineLevel="0" collapsed="false">
      <c r="A35" s="0" t="s">
        <v>69</v>
      </c>
      <c r="B35" s="4" t="n">
        <f aca="false">B32+B34</f>
        <v>28635.0994718331</v>
      </c>
    </row>
    <row r="36" customFormat="false" ht="15" hidden="false" customHeight="false" outlineLevel="0" collapsed="false">
      <c r="A36" s="0" t="s">
        <v>70</v>
      </c>
      <c r="B36" s="4" t="n">
        <f aca="false">Annahmen!B4</f>
        <v>1900</v>
      </c>
    </row>
    <row r="37" customFormat="false" ht="15" hidden="false" customHeight="false" outlineLevel="0" collapsed="false">
      <c r="A37" s="0" t="s">
        <v>71</v>
      </c>
      <c r="B37" s="4" t="n">
        <f aca="false">B35+B36</f>
        <v>30535.0994718331</v>
      </c>
    </row>
    <row r="38" customFormat="false" ht="15" hidden="false" customHeight="false" outlineLevel="0" collapsed="false">
      <c r="A38" s="10" t="s">
        <v>72</v>
      </c>
      <c r="B38" s="11" t="n">
        <f aca="false">B37/Annahmen!B3</f>
        <v>176.503465155105</v>
      </c>
    </row>
    <row r="39" customFormat="false" ht="15" hidden="false" customHeight="false" outlineLevel="0" collapsed="false">
      <c r="A39" s="0" t="s">
        <v>73</v>
      </c>
      <c r="B39" s="6" t="n">
        <f aca="false">B38/Annahmen!B2-1</f>
        <v>-0.211051916882243</v>
      </c>
    </row>
    <row r="40" customFormat="false" ht="15" hidden="false" customHeight="false" outlineLevel="0" collapsed="false">
      <c r="A40" s="0" t="s">
        <v>74</v>
      </c>
      <c r="B40" s="6" t="n">
        <f aca="false">B34/B35</f>
        <v>0.744054268650395</v>
      </c>
    </row>
    <row r="43" customFormat="false" ht="15" hidden="false" customHeight="false" outlineLevel="0" collapsed="false">
      <c r="A43" s="7" t="s">
        <v>76</v>
      </c>
    </row>
    <row r="44" customFormat="false" ht="15" hidden="false" customHeight="false" outlineLevel="0" collapsed="false">
      <c r="A44" s="0" t="s">
        <v>50</v>
      </c>
      <c r="B44" s="8" t="n">
        <v>0.09</v>
      </c>
    </row>
    <row r="45" customFormat="false" ht="15" hidden="false" customHeight="false" outlineLevel="0" collapsed="false">
      <c r="A45" s="0" t="s">
        <v>51</v>
      </c>
      <c r="B45" s="8" t="n">
        <v>0.04</v>
      </c>
    </row>
    <row r="46" customFormat="false" ht="15" hidden="false" customHeight="false" outlineLevel="0" collapsed="false">
      <c r="A46" s="1"/>
      <c r="B46" s="1" t="s">
        <v>52</v>
      </c>
      <c r="C46" s="1" t="s">
        <v>53</v>
      </c>
      <c r="D46" s="1" t="s">
        <v>54</v>
      </c>
      <c r="E46" s="1" t="s">
        <v>55</v>
      </c>
      <c r="F46" s="1" t="s">
        <v>56</v>
      </c>
      <c r="G46" s="1" t="s">
        <v>57</v>
      </c>
      <c r="H46" s="1" t="s">
        <v>58</v>
      </c>
      <c r="I46" s="1" t="s">
        <v>59</v>
      </c>
      <c r="J46" s="1" t="s">
        <v>60</v>
      </c>
      <c r="K46" s="1" t="s">
        <v>61</v>
      </c>
    </row>
    <row r="47" customFormat="false" ht="15" hidden="false" customHeight="false" outlineLevel="0" collapsed="false">
      <c r="A47" s="0" t="s">
        <v>47</v>
      </c>
      <c r="B47" s="8" t="n">
        <v>0.19</v>
      </c>
      <c r="C47" s="8" t="n">
        <v>0.19</v>
      </c>
      <c r="D47" s="8" t="n">
        <v>0.18</v>
      </c>
      <c r="E47" s="8" t="n">
        <v>0.17</v>
      </c>
      <c r="F47" s="8" t="n">
        <v>0.15</v>
      </c>
      <c r="G47" s="8" t="n">
        <v>0.14</v>
      </c>
      <c r="H47" s="8" t="n">
        <v>0.12</v>
      </c>
      <c r="I47" s="8" t="n">
        <v>0.11</v>
      </c>
      <c r="J47" s="8" t="n">
        <v>0.1</v>
      </c>
      <c r="K47" s="8" t="n">
        <v>0.08</v>
      </c>
    </row>
    <row r="48" customFormat="false" ht="15" hidden="false" customHeight="false" outlineLevel="0" collapsed="false">
      <c r="A48" s="0" t="s">
        <v>41</v>
      </c>
      <c r="B48" s="4" t="n">
        <f aca="false">Annahmen!B6*(1+B47)</f>
        <v>4668.37</v>
      </c>
      <c r="C48" s="4" t="n">
        <f aca="false">B48*(1+C47)</f>
        <v>5555.3603</v>
      </c>
      <c r="D48" s="4" t="n">
        <f aca="false">C48*(1+D47)</f>
        <v>6555.325154</v>
      </c>
      <c r="E48" s="4" t="n">
        <f aca="false">D48*(1+E47)</f>
        <v>7669.73043018</v>
      </c>
      <c r="F48" s="4" t="n">
        <f aca="false">E48*(1+F47)</f>
        <v>8820.189994707</v>
      </c>
      <c r="G48" s="4" t="n">
        <f aca="false">F48*(1+G47)</f>
        <v>10055.016593966</v>
      </c>
      <c r="H48" s="4" t="n">
        <f aca="false">G48*(1+H47)</f>
        <v>11261.6185852419</v>
      </c>
      <c r="I48" s="4" t="n">
        <f aca="false">H48*(1+I47)</f>
        <v>12500.3966296185</v>
      </c>
      <c r="J48" s="4" t="n">
        <f aca="false">I48*(1+J47)</f>
        <v>13750.4362925804</v>
      </c>
      <c r="K48" s="4" t="n">
        <f aca="false">J48*(1+K47)</f>
        <v>14850.4711959868</v>
      </c>
    </row>
    <row r="49" customFormat="false" ht="15" hidden="false" customHeight="false" outlineLevel="0" collapsed="false">
      <c r="A49" s="0" t="s">
        <v>62</v>
      </c>
      <c r="B49" s="8" t="n">
        <f aca="false">0.06+(1-Annahmen!$B$12)*Annahmen!$B$11</f>
        <v>0.06</v>
      </c>
      <c r="C49" s="8" t="n">
        <f aca="false">0.085+(1-Annahmen!$B$12)*Annahmen!$B$11</f>
        <v>0.085</v>
      </c>
      <c r="D49" s="8" t="n">
        <f aca="false">0.11+(1-Annahmen!$B$12)*Annahmen!$B$11</f>
        <v>0.11</v>
      </c>
      <c r="E49" s="8" t="n">
        <f aca="false">0.135+(1-Annahmen!$B$12)*Annahmen!$B$11</f>
        <v>0.135</v>
      </c>
      <c r="F49" s="8" t="n">
        <f aca="false">0.16+(1-Annahmen!$B$12)*Annahmen!$B$11</f>
        <v>0.16</v>
      </c>
      <c r="G49" s="8" t="n">
        <f aca="false">0.19+(1-Annahmen!$B$12)*Annahmen!$B$11</f>
        <v>0.19</v>
      </c>
      <c r="H49" s="8" t="n">
        <f aca="false">0.22+(1-Annahmen!$B$12)*Annahmen!$B$11</f>
        <v>0.22</v>
      </c>
      <c r="I49" s="8" t="n">
        <f aca="false">0.25+(1-Annahmen!$B$12)*Annahmen!$B$11</f>
        <v>0.25</v>
      </c>
      <c r="J49" s="8" t="n">
        <f aca="false">0.28+(1-Annahmen!$B$12)*Annahmen!$B$11</f>
        <v>0.28</v>
      </c>
      <c r="K49" s="8" t="n">
        <f aca="false">0.3+(1-Annahmen!$B$12)*Annahmen!$B$11</f>
        <v>0.3</v>
      </c>
    </row>
    <row r="50" customFormat="false" ht="15" hidden="false" customHeight="false" outlineLevel="0" collapsed="false">
      <c r="A50" s="0" t="s">
        <v>63</v>
      </c>
      <c r="B50" s="4" t="n">
        <f aca="false">B48*B49</f>
        <v>280.1022</v>
      </c>
      <c r="C50" s="4" t="n">
        <f aca="false">C48*C49</f>
        <v>472.2056255</v>
      </c>
      <c r="D50" s="4" t="n">
        <f aca="false">D48*D49</f>
        <v>721.08576694</v>
      </c>
      <c r="E50" s="4" t="n">
        <f aca="false">E48*E49</f>
        <v>1035.4136080743</v>
      </c>
      <c r="F50" s="4" t="n">
        <f aca="false">F48*F49</f>
        <v>1411.23039915312</v>
      </c>
      <c r="G50" s="4" t="n">
        <f aca="false">G48*G49</f>
        <v>1910.45315285354</v>
      </c>
      <c r="H50" s="4" t="n">
        <f aca="false">H48*H49</f>
        <v>2477.55608875322</v>
      </c>
      <c r="I50" s="4" t="n">
        <f aca="false">I48*I49</f>
        <v>3125.09915740463</v>
      </c>
      <c r="J50" s="4" t="n">
        <f aca="false">J48*J49</f>
        <v>3850.1221619225</v>
      </c>
      <c r="K50" s="4" t="n">
        <f aca="false">K48*K49</f>
        <v>4455.14135879604</v>
      </c>
    </row>
    <row r="51" customFormat="false" ht="15" hidden="false" customHeight="false" outlineLevel="0" collapsed="false">
      <c r="A51" s="0" t="s">
        <v>64</v>
      </c>
      <c r="B51" s="9" t="n">
        <f aca="false">1/(1+$B$44)^(0+0.8)</f>
        <v>0.933380668061437</v>
      </c>
      <c r="C51" s="9" t="n">
        <f aca="false">1/(1+$B$44)^(1+0.8)</f>
        <v>0.856312539505906</v>
      </c>
      <c r="D51" s="9" t="n">
        <f aca="false">1/(1+$B$44)^(2+0.8)</f>
        <v>0.785607834409088</v>
      </c>
      <c r="E51" s="9" t="n">
        <f aca="false">1/(1+$B$44)^(3+0.8)</f>
        <v>0.720741132485401</v>
      </c>
      <c r="F51" s="9" t="n">
        <f aca="false">1/(1+$B$44)^(4+0.8)</f>
        <v>0.661230396775598</v>
      </c>
      <c r="G51" s="9" t="n">
        <f aca="false">1/(1+$B$44)^(5+0.8)</f>
        <v>0.606633391537245</v>
      </c>
      <c r="H51" s="9" t="n">
        <f aca="false">1/(1+$B$44)^(6+0.8)</f>
        <v>0.55654439590573</v>
      </c>
      <c r="I51" s="9" t="n">
        <f aca="false">1/(1+$B$44)^(7+0.8)</f>
        <v>0.510591188904339</v>
      </c>
      <c r="J51" s="9" t="n">
        <f aca="false">1/(1+$B$44)^(8+0.8)</f>
        <v>0.468432283398476</v>
      </c>
      <c r="K51" s="9" t="n">
        <f aca="false">1/(1+$B$44)^(9+0.8)</f>
        <v>0.429754388438969</v>
      </c>
    </row>
    <row r="52" customFormat="false" ht="15" hidden="false" customHeight="false" outlineLevel="0" collapsed="false">
      <c r="A52" s="0" t="s">
        <v>65</v>
      </c>
      <c r="B52" s="4" t="n">
        <f aca="false">B50*B51</f>
        <v>261.441978561478</v>
      </c>
      <c r="C52" s="4" t="n">
        <f aca="false">C50*C51</f>
        <v>404.35559834088</v>
      </c>
      <c r="D52" s="4" t="n">
        <f aca="false">D50*D51</f>
        <v>566.490627788949</v>
      </c>
      <c r="E52" s="4" t="n">
        <f aca="false">E50*E51</f>
        <v>746.265176474267</v>
      </c>
      <c r="F52" s="4" t="n">
        <f aca="false">F50*F51</f>
        <v>933.148436773802</v>
      </c>
      <c r="G52" s="4" t="n">
        <f aca="false">G50*G51</f>
        <v>1158.94467548856</v>
      </c>
      <c r="H52" s="4" t="n">
        <f aca="false">H50*H51</f>
        <v>1378.86995673772</v>
      </c>
      <c r="I52" s="4" t="n">
        <f aca="false">I50*I51</f>
        <v>1595.64809422318</v>
      </c>
      <c r="J52" s="4" t="n">
        <f aca="false">J50*J51</f>
        <v>1803.52151567243</v>
      </c>
      <c r="K52" s="4" t="n">
        <f aca="false">K50*K51</f>
        <v>1914.61655005855</v>
      </c>
    </row>
    <row r="53" customFormat="false" ht="15" hidden="false" customHeight="false" outlineLevel="0" collapsed="false">
      <c r="A53" s="0" t="s">
        <v>66</v>
      </c>
      <c r="B53" s="4" t="n">
        <f aca="false">SUM(B52:K52)</f>
        <v>10763.3026101198</v>
      </c>
    </row>
    <row r="54" customFormat="false" ht="15" hidden="false" customHeight="false" outlineLevel="0" collapsed="false">
      <c r="A54" s="0" t="s">
        <v>67</v>
      </c>
      <c r="B54" s="4" t="n">
        <f aca="false">K50*(1+B45)/(B44-B45)</f>
        <v>92666.9402629576</v>
      </c>
    </row>
    <row r="55" customFormat="false" ht="15" hidden="false" customHeight="false" outlineLevel="0" collapsed="false">
      <c r="A55" s="0" t="s">
        <v>68</v>
      </c>
      <c r="B55" s="4" t="n">
        <f aca="false">B54*K51</f>
        <v>39824.0242412178</v>
      </c>
    </row>
    <row r="56" customFormat="false" ht="15" hidden="false" customHeight="false" outlineLevel="0" collapsed="false">
      <c r="A56" s="0" t="s">
        <v>69</v>
      </c>
      <c r="B56" s="4" t="n">
        <f aca="false">B53+B55</f>
        <v>50587.3268513376</v>
      </c>
    </row>
    <row r="57" customFormat="false" ht="15" hidden="false" customHeight="false" outlineLevel="0" collapsed="false">
      <c r="A57" s="0" t="s">
        <v>70</v>
      </c>
      <c r="B57" s="4" t="n">
        <f aca="false">Annahmen!B4</f>
        <v>1900</v>
      </c>
    </row>
    <row r="58" customFormat="false" ht="15" hidden="false" customHeight="false" outlineLevel="0" collapsed="false">
      <c r="A58" s="0" t="s">
        <v>71</v>
      </c>
      <c r="B58" s="4" t="n">
        <f aca="false">B56+B57</f>
        <v>52487.3268513376</v>
      </c>
    </row>
    <row r="59" customFormat="false" ht="15" hidden="false" customHeight="false" outlineLevel="0" collapsed="false">
      <c r="A59" s="10" t="s">
        <v>72</v>
      </c>
      <c r="B59" s="11" t="n">
        <f aca="false">B58/Annahmen!B3</f>
        <v>303.394952897905</v>
      </c>
    </row>
    <row r="60" customFormat="false" ht="15" hidden="false" customHeight="false" outlineLevel="0" collapsed="false">
      <c r="A60" s="0" t="s">
        <v>73</v>
      </c>
      <c r="B60" s="6" t="n">
        <f aca="false">B59/Annahmen!B2-1</f>
        <v>0.356136925164962</v>
      </c>
    </row>
    <row r="61" customFormat="false" ht="15" hidden="false" customHeight="false" outlineLevel="0" collapsed="false">
      <c r="A61" s="0" t="s">
        <v>74</v>
      </c>
      <c r="B61" s="6" t="n">
        <f aca="false">B55/B56</f>
        <v>0.787233220649309</v>
      </c>
    </row>
    <row r="64" customFormat="false" ht="15" hidden="false" customHeight="false" outlineLevel="0" collapsed="false">
      <c r="A64" s="7" t="s">
        <v>77</v>
      </c>
    </row>
    <row r="65" customFormat="false" ht="15" hidden="false" customHeight="false" outlineLevel="0" collapsed="false">
      <c r="A65" s="0" t="s">
        <v>78</v>
      </c>
      <c r="B65" s="11" t="n">
        <f aca="false">B17</f>
        <v>79.5728522497503</v>
      </c>
      <c r="C65" s="6" t="n">
        <f aca="false">B18</f>
        <v>-0.644319451771186</v>
      </c>
    </row>
    <row r="66" customFormat="false" ht="15" hidden="false" customHeight="false" outlineLevel="0" collapsed="false">
      <c r="A66" s="0" t="s">
        <v>79</v>
      </c>
      <c r="B66" s="11" t="n">
        <f aca="false">B38</f>
        <v>176.503465155105</v>
      </c>
      <c r="C66" s="6" t="n">
        <f aca="false">B39</f>
        <v>-0.211051916882243</v>
      </c>
    </row>
    <row r="67" customFormat="false" ht="15" hidden="false" customHeight="false" outlineLevel="0" collapsed="false">
      <c r="A67" s="0" t="s">
        <v>80</v>
      </c>
      <c r="B67" s="11" t="n">
        <f aca="false">B59</f>
        <v>303.394952897905</v>
      </c>
      <c r="C67" s="6" t="n">
        <f aca="false">B60</f>
        <v>0.356136925164962</v>
      </c>
    </row>
    <row r="68" customFormat="false" ht="15" hidden="false" customHeight="false" outlineLevel="0" collapsed="false">
      <c r="A68" s="0" t="s">
        <v>81</v>
      </c>
      <c r="B68" s="11" t="n">
        <f aca="false">0.25*B65+0.5*B66+0.25*B67</f>
        <v>183.993683864466</v>
      </c>
    </row>
    <row r="70" customFormat="false" ht="15" hidden="false" customHeight="false" outlineLevel="0" collapsed="false">
      <c r="A70" s="0" t="s">
        <v>82</v>
      </c>
    </row>
    <row r="72" customFormat="false" ht="15" hidden="false" customHeight="false" outlineLevel="0" collapsed="false">
      <c r="A72" s="10" t="s">
        <v>83</v>
      </c>
    </row>
    <row r="73" customFormat="false" ht="15" hidden="false" customHeight="false" outlineLevel="0" collapsed="false">
      <c r="B73" s="12" t="n">
        <v>0.025</v>
      </c>
      <c r="C73" s="12" t="n">
        <v>0.03</v>
      </c>
      <c r="D73" s="12" t="n">
        <v>0.035</v>
      </c>
      <c r="E73" s="12" t="n">
        <v>0.04</v>
      </c>
      <c r="F73" s="12" t="n">
        <v>0.045</v>
      </c>
    </row>
    <row r="74" customFormat="false" ht="15" hidden="false" customHeight="false" outlineLevel="0" collapsed="false">
      <c r="A74" s="12" t="n">
        <v>0.085</v>
      </c>
      <c r="B74" s="13" t="n">
        <f aca="false">((B29/(1+$A74)^(0+0.8)+C29/(1+$A74)^(1+0.8)+D29/(1+$A74)^(2+0.8)+E29/(1+$A74)^(3+0.8)+F29/(1+$A74)^(4+0.8)+G29/(1+$A74)^(5+0.8)+H29/(1+$A74)^(6+0.8)+I29/(1+$A74)^(7+0.8)+J29/(1+$A74)^(8+0.8)+K29/(1+$A74)^(9+0.8))+K29*(1+B$73)/($A74-B$73)/(1+$A74)^9.8+Annahmen!B4)/Annahmen!B3</f>
        <v>189.460228572381</v>
      </c>
      <c r="C74" s="13" t="n">
        <f aca="false">((B29/(1+$A74)^(0+0.8)+C29/(1+$A74)^(1+0.8)+D29/(1+$A74)^(2+0.8)+E29/(1+$A74)^(3+0.8)+F29/(1+$A74)^(4+0.8)+G29/(1+$A74)^(5+0.8)+H29/(1+$A74)^(6+0.8)+I29/(1+$A74)^(7+0.8)+J29/(1+$A74)^(8+0.8)+K29/(1+$A74)^(9+0.8))+K29*(1+C$73)/($A74-C$73)/(1+$A74)^9.8+Annahmen!B4)/Annahmen!B3</f>
        <v>202.30128760474</v>
      </c>
      <c r="D74" s="13" t="n">
        <f aca="false">((B29/(1+$A74)^(0+0.8)+C29/(1+$A74)^(1+0.8)+D29/(1+$A74)^(2+0.8)+E29/(1+$A74)^(3+0.8)+F29/(1+$A74)^(4+0.8)+G29/(1+$A74)^(5+0.8)+H29/(1+$A74)^(6+0.8)+I29/(1+$A74)^(7+0.8)+J29/(1+$A74)^(8+0.8)+K29/(1+$A74)^(9+0.8))+K29*(1+D$73)/($A74-D$73)/(1+$A74)^9.8+Annahmen!B4)/Annahmen!B3</f>
        <v>217.710558443571</v>
      </c>
      <c r="E74" s="13" t="n">
        <f aca="false">((B29/(1+$A74)^(0+0.8)+C29/(1+$A74)^(1+0.8)+D29/(1+$A74)^(2+0.8)+E29/(1+$A74)^(3+0.8)+F29/(1+$A74)^(4+0.8)+G29/(1+$A74)^(5+0.8)+H29/(1+$A74)^(6+0.8)+I29/(1+$A74)^(7+0.8)+J29/(1+$A74)^(8+0.8)+K29/(1+$A74)^(9+0.8))+K29*(1+E$73)/($A74-E$73)/(1+$A74)^9.8+Annahmen!B4)/Annahmen!B3</f>
        <v>236.544111691031</v>
      </c>
      <c r="F74" s="13" t="n">
        <f aca="false">((B29/(1+$A74)^(0+0.8)+C29/(1+$A74)^(1+0.8)+D29/(1+$A74)^(2+0.8)+E29/(1+$A74)^(3+0.8)+F29/(1+$A74)^(4+0.8)+G29/(1+$A74)^(5+0.8)+H29/(1+$A74)^(6+0.8)+I29/(1+$A74)^(7+0.8)+J29/(1+$A74)^(8+0.8)+K29/(1+$A74)^(9+0.8))+K29*(1+F$73)/($A74-F$73)/(1+$A74)^9.8+Annahmen!B4)/Annahmen!B3</f>
        <v>260.086053250357</v>
      </c>
    </row>
    <row r="75" customFormat="false" ht="15" hidden="false" customHeight="false" outlineLevel="0" collapsed="false">
      <c r="A75" s="12" t="n">
        <v>0.09</v>
      </c>
      <c r="B75" s="13" t="n">
        <f aca="false">((B29/(1+$A75)^(0+0.8)+C29/(1+$A75)^(1+0.8)+D29/(1+$A75)^(2+0.8)+E29/(1+$A75)^(3+0.8)+F29/(1+$A75)^(4+0.8)+G29/(1+$A75)^(5+0.8)+H29/(1+$A75)^(6+0.8)+I29/(1+$A75)^(7+0.8)+J29/(1+$A75)^(8+0.8)+K29/(1+$A75)^(9+0.8))+K29*(1+B$73)/($A75-B$73)/(1+$A75)^9.8+Annahmen!B4)/Annahmen!B3</f>
        <v>172.405933457392</v>
      </c>
      <c r="C75" s="13" t="n">
        <f aca="false">((B29/(1+$A75)^(0+0.8)+C29/(1+$A75)^(1+0.8)+D29/(1+$A75)^(2+0.8)+E29/(1+$A75)^(3+0.8)+F29/(1+$A75)^(4+0.8)+G29/(1+$A75)^(5+0.8)+H29/(1+$A75)^(6+0.8)+I29/(1+$A75)^(7+0.8)+J29/(1+$A75)^(8+0.8)+K29/(1+$A75)^(9+0.8))+K29*(1+C$73)/($A75-C$73)/(1+$A75)^9.8+Annahmen!B4)/Annahmen!B3</f>
        <v>182.840602750727</v>
      </c>
      <c r="D75" s="13" t="n">
        <f aca="false">((B29/(1+$A75)^(0+0.8)+C29/(1+$A75)^(1+0.8)+D29/(1+$A75)^(2+0.8)+E29/(1+$A75)^(3+0.8)+F29/(1+$A75)^(4+0.8)+G29/(1+$A75)^(5+0.8)+H29/(1+$A75)^(6+0.8)+I29/(1+$A75)^(7+0.8)+J29/(1+$A75)^(8+0.8)+K29/(1+$A75)^(9+0.8))+K29*(1+D$73)/($A75-D$73)/(1+$A75)^9.8+Annahmen!B4)/Annahmen!B3</f>
        <v>195.172484642851</v>
      </c>
      <c r="E75" s="13" t="n">
        <f aca="false">((B29/(1+$A75)^(0+0.8)+C29/(1+$A75)^(1+0.8)+D29/(1+$A75)^(2+0.8)+E29/(1+$A75)^(3+0.8)+F29/(1+$A75)^(4+0.8)+G29/(1+$A75)^(5+0.8)+H29/(1+$A75)^(6+0.8)+I29/(1+$A75)^(7+0.8)+J29/(1+$A75)^(8+0.8)+K29/(1+$A75)^(9+0.8))+K29*(1+E$73)/($A75-E$73)/(1+$A75)^9.8+Annahmen!B4)/Annahmen!B3</f>
        <v>209.970742913399</v>
      </c>
      <c r="F75" s="13" t="n">
        <f aca="false">((B29/(1+$A75)^(0+0.8)+C29/(1+$A75)^(1+0.8)+D29/(1+$A75)^(2+0.8)+E29/(1+$A75)^(3+0.8)+F29/(1+$A75)^(4+0.8)+G29/(1+$A75)^(5+0.8)+H29/(1+$A75)^(6+0.8)+I29/(1+$A75)^(7+0.8)+J29/(1+$A75)^(8+0.8)+K29/(1+$A75)^(9+0.8))+K29*(1+F$73)/($A75-F$73)/(1+$A75)^9.8+Annahmen!B4)/Annahmen!B3</f>
        <v>228.057503021847</v>
      </c>
    </row>
    <row r="76" customFormat="false" ht="15" hidden="false" customHeight="false" outlineLevel="0" collapsed="false">
      <c r="A76" s="12" t="n">
        <v>0.095</v>
      </c>
      <c r="B76" s="13" t="n">
        <f aca="false">((B29/(1+$A76)^(0+0.8)+C29/(1+$A76)^(1+0.8)+D29/(1+$A76)^(2+0.8)+E29/(1+$A76)^(3+0.8)+F29/(1+$A76)^(4+0.8)+G29/(1+$A76)^(5+0.8)+H29/(1+$A76)^(6+0.8)+I29/(1+$A76)^(7+0.8)+J29/(1+$A76)^(8+0.8)+K29/(1+$A76)^(9+0.8))+K29*(1+B$73)/($A76-B$73)/(1+$A76)^9.8+Annahmen!B4)/Annahmen!B3</f>
        <v>157.889755516969</v>
      </c>
      <c r="C76" s="13" t="n">
        <f aca="false">((B29/(1+$A76)^(0+0.8)+C29/(1+$A76)^(1+0.8)+D29/(1+$A76)^(2+0.8)+E29/(1+$A76)^(3+0.8)+F29/(1+$A76)^(4+0.8)+G29/(1+$A76)^(5+0.8)+H29/(1+$A76)^(6+0.8)+I29/(1+$A76)^(7+0.8)+J29/(1+$A76)^(8+0.8)+K29/(1+$A76)^(9+0.8))+K29*(1+C$73)/($A76-C$73)/(1+$A76)^9.8+Annahmen!B4)/Annahmen!B3</f>
        <v>166.480698426878</v>
      </c>
      <c r="D76" s="13" t="n">
        <f aca="false">((B29/(1+$A76)^(0+0.8)+C29/(1+$A76)^(1+0.8)+D29/(1+$A76)^(2+0.8)+E29/(1+$A76)^(3+0.8)+F29/(1+$A76)^(4+0.8)+G29/(1+$A76)^(5+0.8)+H29/(1+$A76)^(6+0.8)+I29/(1+$A76)^(7+0.8)+J29/(1+$A76)^(8+0.8)+K29/(1+$A76)^(9+0.8))+K29*(1+D$73)/($A76-D$73)/(1+$A76)^9.8+Annahmen!B4)/Annahmen!B3</f>
        <v>176.503465155105</v>
      </c>
      <c r="E76" s="13" t="n">
        <f aca="false">((B29/(1+$A76)^(0+0.8)+C29/(1+$A76)^(1+0.8)+D29/(1+$A76)^(2+0.8)+E29/(1+$A76)^(3+0.8)+F29/(1+$A76)^(4+0.8)+G29/(1+$A76)^(5+0.8)+H29/(1+$A76)^(6+0.8)+I29/(1+$A76)^(7+0.8)+J29/(1+$A76)^(8+0.8)+K29/(1+$A76)^(9+0.8))+K29*(1+E$73)/($A76-E$73)/(1+$A76)^9.8+Annahmen!B4)/Annahmen!B3</f>
        <v>188.348553106646</v>
      </c>
      <c r="F76" s="13" t="n">
        <f aca="false">((B29/(1+$A76)^(0+0.8)+C29/(1+$A76)^(1+0.8)+D29/(1+$A76)^(2+0.8)+E29/(1+$A76)^(3+0.8)+F29/(1+$A76)^(4+0.8)+G29/(1+$A76)^(5+0.8)+H29/(1+$A76)^(6+0.8)+I29/(1+$A76)^(7+0.8)+J29/(1+$A76)^(8+0.8)+K29/(1+$A76)^(9+0.8))+K29*(1+F$73)/($A76-F$73)/(1+$A76)^9.8+Annahmen!B4)/Annahmen!B3</f>
        <v>202.562658648494</v>
      </c>
    </row>
    <row r="77" customFormat="false" ht="15" hidden="false" customHeight="false" outlineLevel="0" collapsed="false">
      <c r="A77" s="12" t="n">
        <v>0.1</v>
      </c>
      <c r="B77" s="13" t="n">
        <f aca="false">((B29/(1+$A77)^(0+0.8)+C29/(1+$A77)^(1+0.8)+D29/(1+$A77)^(2+0.8)+E29/(1+$A77)^(3+0.8)+F29/(1+$A77)^(4+0.8)+G29/(1+$A77)^(5+0.8)+H29/(1+$A77)^(6+0.8)+I29/(1+$A77)^(7+0.8)+J29/(1+$A77)^(8+0.8)+K29/(1+$A77)^(9+0.8))+K29*(1+B$73)/($A77-B$73)/(1+$A77)^9.8+Annahmen!B4)/Annahmen!B3</f>
        <v>145.400310754509</v>
      </c>
      <c r="C77" s="13" t="n">
        <f aca="false">((B29/(1+$A77)^(0+0.8)+C29/(1+$A77)^(1+0.8)+D29/(1+$A77)^(2+0.8)+E29/(1+$A77)^(3+0.8)+F29/(1+$A77)^(4+0.8)+G29/(1+$A77)^(5+0.8)+H29/(1+$A77)^(6+0.8)+I29/(1+$A77)^(7+0.8)+J29/(1+$A77)^(8+0.8)+K29/(1+$A77)^(9+0.8))+K29*(1+C$73)/($A77-C$73)/(1+$A77)^9.8+Annahmen!B4)/Annahmen!B3</f>
        <v>152.553200742317</v>
      </c>
      <c r="D77" s="13" t="n">
        <f aca="false">((B29/(1+$A77)^(0+0.8)+C29/(1+$A77)^(1+0.8)+D29/(1+$A77)^(2+0.8)+E29/(1+$A77)^(3+0.8)+F29/(1+$A77)^(4+0.8)+G29/(1+$A77)^(5+0.8)+H29/(1+$A77)^(6+0.8)+I29/(1+$A77)^(7+0.8)+J29/(1+$A77)^(8+0.8)+K29/(1+$A77)^(9+0.8))+K29*(1+D$73)/($A77-D$73)/(1+$A77)^9.8+Annahmen!B4)/Annahmen!B3</f>
        <v>160.806535343634</v>
      </c>
      <c r="E77" s="13" t="n">
        <f aca="false">((B29/(1+$A77)^(0+0.8)+C29/(1+$A77)^(1+0.8)+D29/(1+$A77)^(2+0.8)+E29/(1+$A77)^(3+0.8)+F29/(1+$A77)^(4+0.8)+G29/(1+$A77)^(5+0.8)+H29/(1+$A77)^(6+0.8)+I29/(1+$A77)^(7+0.8)+J29/(1+$A77)^(8+0.8)+K29/(1+$A77)^(9+0.8))+K29*(1+E$73)/($A77-E$73)/(1+$A77)^9.8+Annahmen!B4)/Annahmen!B3</f>
        <v>170.435425711836</v>
      </c>
      <c r="F77" s="13" t="n">
        <f aca="false">((B29/(1+$A77)^(0+0.8)+C29/(1+$A77)^(1+0.8)+D29/(1+$A77)^(2+0.8)+E29/(1+$A77)^(3+0.8)+F29/(1+$A77)^(4+0.8)+G29/(1+$A77)^(5+0.8)+H29/(1+$A77)^(6+0.8)+I29/(1+$A77)^(7+0.8)+J29/(1+$A77)^(8+0.8)+K29/(1+$A77)^(9+0.8))+K29*(1+F$73)/($A77-F$73)/(1+$A77)^9.8+Annahmen!B4)/Annahmen!B3</f>
        <v>181.815023419712</v>
      </c>
    </row>
    <row r="78" customFormat="false" ht="15" hidden="false" customHeight="false" outlineLevel="0" collapsed="false">
      <c r="A78" s="12" t="n">
        <v>0.105</v>
      </c>
      <c r="B78" s="13" t="n">
        <f aca="false">((B29/(1+$A78)^(0+0.8)+C29/(1+$A78)^(1+0.8)+D29/(1+$A78)^(2+0.8)+E29/(1+$A78)^(3+0.8)+F29/(1+$A78)^(4+0.8)+G29/(1+$A78)^(5+0.8)+H29/(1+$A78)^(6+0.8)+I29/(1+$A78)^(7+0.8)+J29/(1+$A78)^(8+0.8)+K29/(1+$A78)^(9+0.8))+K29*(1+B$73)/($A78-B$73)/(1+$A78)^9.8+Annahmen!B4)/Annahmen!B3</f>
        <v>134.554220994629</v>
      </c>
      <c r="C78" s="13" t="n">
        <f aca="false">((B29/(1+$A78)^(0+0.8)+C29/(1+$A78)^(1+0.8)+D29/(1+$A78)^(2+0.8)+E29/(1+$A78)^(3+0.8)+F29/(1+$A78)^(4+0.8)+G29/(1+$A78)^(5+0.8)+H29/(1+$A78)^(6+0.8)+I29/(1+$A78)^(7+0.8)+J29/(1+$A78)^(8+0.8)+K29/(1+$A78)^(9+0.8))+K29*(1+C$73)/($A78-C$73)/(1+$A78)^9.8+Annahmen!B4)/Annahmen!B3</f>
        <v>140.568134552986</v>
      </c>
      <c r="D78" s="13" t="n">
        <f aca="false">((B29/(1+$A78)^(0+0.8)+C29/(1+$A78)^(1+0.8)+D29/(1+$A78)^(2+0.8)+E29/(1+$A78)^(3+0.8)+F29/(1+$A78)^(4+0.8)+G29/(1+$A78)^(5+0.8)+H29/(1+$A78)^(6+0.8)+I29/(1+$A78)^(7+0.8)+J29/(1+$A78)^(8+0.8)+K29/(1+$A78)^(9+0.8))+K29*(1+D$73)/($A78-D$73)/(1+$A78)^9.8+Annahmen!B4)/Annahmen!B3</f>
        <v>147.44117861968</v>
      </c>
      <c r="E78" s="13" t="n">
        <f aca="false">((B29/(1+$A78)^(0+0.8)+C29/(1+$A78)^(1+0.8)+D29/(1+$A78)^(2+0.8)+E29/(1+$A78)^(3+0.8)+F29/(1+$A78)^(4+0.8)+G29/(1+$A78)^(5+0.8)+H29/(1+$A78)^(6+0.8)+I29/(1+$A78)^(7+0.8)+J29/(1+$A78)^(8+0.8)+K29/(1+$A78)^(9+0.8))+K29*(1+E$73)/($A78-E$73)/(1+$A78)^9.8+Annahmen!B4)/Annahmen!B3</f>
        <v>155.37161408125</v>
      </c>
      <c r="F78" s="13" t="n">
        <f aca="false">((B29/(1+$A78)^(0+0.8)+C29/(1+$A78)^(1+0.8)+D29/(1+$A78)^(2+0.8)+E29/(1+$A78)^(3+0.8)+F29/(1+$A78)^(4+0.8)+G29/(1+$A78)^(5+0.8)+H29/(1+$A78)^(6+0.8)+I29/(1+$A78)^(7+0.8)+J29/(1+$A78)^(8+0.8)+K29/(1+$A78)^(9+0.8))+K29*(1+F$73)/($A78-F$73)/(1+$A78)^9.8+Annahmen!B4)/Annahmen!B3</f>
        <v>164.623788786415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34</v>
      </c>
      <c r="G1" s="1" t="s">
        <v>89</v>
      </c>
    </row>
    <row r="2" customFormat="false" ht="15" hidden="false" customHeight="false" outlineLevel="0" collapsed="false">
      <c r="A2" s="0" t="s">
        <v>90</v>
      </c>
      <c r="B2" s="0" t="s">
        <v>91</v>
      </c>
      <c r="C2" s="5" t="n">
        <f aca="false">Annahmen!B17</f>
        <v>45.844262295082</v>
      </c>
      <c r="D2" s="5" t="n">
        <f aca="false">Annahmen!B18</f>
        <v>31.2716118616705</v>
      </c>
      <c r="E2" s="14" t="n">
        <v>0.17</v>
      </c>
      <c r="F2" s="6" t="n">
        <f aca="false">Annahmen!B22</f>
        <v>0</v>
      </c>
      <c r="G2" s="3" t="s">
        <v>92</v>
      </c>
    </row>
    <row r="3" customFormat="false" ht="15" hidden="false" customHeight="false" outlineLevel="0" collapsed="false">
      <c r="A3" s="0" t="s">
        <v>93</v>
      </c>
      <c r="B3" s="0" t="s">
        <v>94</v>
      </c>
      <c r="C3" s="15" t="n">
        <v>199</v>
      </c>
      <c r="D3" s="15" t="n">
        <v>151</v>
      </c>
      <c r="E3" s="16" t="n">
        <v>0.25</v>
      </c>
      <c r="F3" s="8" t="n">
        <v>0</v>
      </c>
      <c r="G3" s="3" t="s">
        <v>95</v>
      </c>
    </row>
    <row r="4" customFormat="false" ht="15" hidden="false" customHeight="false" outlineLevel="0" collapsed="false">
      <c r="A4" s="0" t="s">
        <v>96</v>
      </c>
      <c r="B4" s="0" t="s">
        <v>97</v>
      </c>
      <c r="C4" s="15" t="n">
        <v>91</v>
      </c>
      <c r="D4" s="15" t="n">
        <v>67</v>
      </c>
      <c r="E4" s="16" t="n">
        <v>0.235</v>
      </c>
      <c r="F4" s="8" t="n">
        <v>0</v>
      </c>
      <c r="G4" s="3" t="s">
        <v>98</v>
      </c>
    </row>
    <row r="5" customFormat="false" ht="15" hidden="false" customHeight="false" outlineLevel="0" collapsed="false">
      <c r="A5" s="0" t="s">
        <v>99</v>
      </c>
      <c r="B5" s="0" t="s">
        <v>100</v>
      </c>
      <c r="C5" s="15" t="n">
        <v>38</v>
      </c>
      <c r="D5" s="15" t="n">
        <v>30</v>
      </c>
      <c r="E5" s="16" t="n">
        <v>0.13</v>
      </c>
      <c r="F5" s="8" t="n">
        <v>0</v>
      </c>
      <c r="G5" s="3" t="s">
        <v>101</v>
      </c>
    </row>
    <row r="6" customFormat="false" ht="15" hidden="false" customHeight="false" outlineLevel="0" collapsed="false">
      <c r="A6" s="0" t="s">
        <v>102</v>
      </c>
      <c r="B6" s="0" t="s">
        <v>103</v>
      </c>
      <c r="C6" s="15" t="n">
        <v>20</v>
      </c>
      <c r="D6" s="15" t="n">
        <v>16</v>
      </c>
      <c r="E6" s="16" t="n">
        <v>0.06</v>
      </c>
      <c r="F6" s="8" t="n">
        <v>0</v>
      </c>
      <c r="G6" s="3" t="s">
        <v>104</v>
      </c>
    </row>
    <row r="7" customFormat="false" ht="15" hidden="false" customHeight="false" outlineLevel="0" collapsed="false">
      <c r="A7" s="10" t="s">
        <v>105</v>
      </c>
      <c r="C7" s="5" t="n">
        <f aca="false">MEDIAN(C3:C6)</f>
        <v>64.5</v>
      </c>
      <c r="D7" s="5" t="n">
        <f aca="false">MEDIAN(D3:D6)</f>
        <v>48.5</v>
      </c>
      <c r="E7" s="6" t="n">
        <f aca="false">MEDIAN(E3:E6)</f>
        <v>0.1825</v>
      </c>
      <c r="F7" s="6" t="n">
        <f aca="false">MEDIAN(F3:F6)</f>
        <v>0</v>
      </c>
    </row>
    <row r="8" customFormat="false" ht="15" hidden="false" customHeight="false" outlineLevel="0" collapsed="false">
      <c r="A8" s="0" t="s">
        <v>106</v>
      </c>
      <c r="C8" s="6" t="n">
        <f aca="false">C2/C7-1</f>
        <v>-0.289236243487101</v>
      </c>
      <c r="D8" s="6" t="n">
        <f aca="false">D2/D7-1</f>
        <v>-0.355224497697516</v>
      </c>
    </row>
    <row r="9" customFormat="false" ht="15" hidden="false" customHeight="false" outlineLevel="0" collapsed="false">
      <c r="A9" s="0" t="s">
        <v>107</v>
      </c>
      <c r="C9" s="17" t="n">
        <f aca="false">C2/16</f>
        <v>2.86526639344262</v>
      </c>
    </row>
    <row r="11" customFormat="false" ht="15" hidden="false" customHeight="false" outlineLevel="0" collapsed="false">
      <c r="A11" s="0" t="s">
        <v>108</v>
      </c>
      <c r="C11" s="11" t="n">
        <f aca="false">C7*Annahmen!B9</f>
        <v>314.76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2026-10-16T15:42:00Z</dcterms:created>
  <dc:creator>openpyxl</dc:creator>
  <dc:description/>
  <dc:language>en-US</dc:language>
  <cp:lastModifiedBy/>
  <dcterms:modified xsi:type="dcterms:W3CDTF">2026-10-16T15:42:00Z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